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ratiksha\Downloads\"/>
    </mc:Choice>
  </mc:AlternateContent>
  <xr:revisionPtr revIDLastSave="0" documentId="13_ncr:1_{FA5218E6-62EF-4874-A9EC-53EDA8A4F420}" xr6:coauthVersionLast="47" xr6:coauthVersionMax="47" xr10:uidLastSave="{00000000-0000-0000-0000-000000000000}"/>
  <bookViews>
    <workbookView xWindow="-108" yWindow="-108" windowWidth="23256" windowHeight="12456" tabRatio="976" activeTab="1" xr2:uid="{381D27F9-8B79-442A-80FC-7CB6A2A5DAB6}"/>
  </bookViews>
  <sheets>
    <sheet name="Data" sheetId="1" r:id="rId1"/>
    <sheet name="DashBoard" sheetId="12" r:id="rId2"/>
    <sheet name="Service Revenue report" sheetId="2" r:id="rId3"/>
    <sheet name="Booking Status" sheetId="4" r:id="rId4"/>
    <sheet name="Service Status" sheetId="5" r:id="rId5"/>
    <sheet name="Pending Status" sheetId="6" r:id="rId6"/>
    <sheet name="Highest Service Revenu" sheetId="7" r:id="rId7"/>
    <sheet name="Monthly record" sheetId="8" r:id="rId8"/>
    <sheet name="Technician Performance" sheetId="9" r:id="rId9"/>
    <sheet name="Service Type Comparison" sheetId="10" r:id="rId10"/>
    <sheet name="KPI Cards" sheetId="13" r:id="rId11"/>
  </sheets>
  <definedNames>
    <definedName name="Slicer_City">#N/A</definedName>
    <definedName name="Slicer_Months__Booking_Date">#N/A</definedName>
    <definedName name="Slicer_Service_Status">#N/A</definedName>
    <definedName name="Slicer_Service_Type">#N/A</definedName>
    <definedName name="Slicer_Technicia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6" i="1" l="1"/>
  <c r="B80" i="1"/>
  <c r="B79" i="1"/>
  <c r="B78" i="1"/>
  <c r="B77" i="1"/>
</calcChain>
</file>

<file path=xl/sharedStrings.xml><?xml version="1.0" encoding="utf-8"?>
<sst xmlns="http://schemas.openxmlformats.org/spreadsheetml/2006/main" count="580" uniqueCount="146">
  <si>
    <t>Service ID</t>
  </si>
  <si>
    <t>Customer Name</t>
  </si>
  <si>
    <t>Contact No</t>
  </si>
  <si>
    <t>City</t>
  </si>
  <si>
    <t>AC Model</t>
  </si>
  <si>
    <t>Service Type</t>
  </si>
  <si>
    <t>Booking Date</t>
  </si>
  <si>
    <t>Service Date</t>
  </si>
  <si>
    <t>Technician</t>
  </si>
  <si>
    <t>Service Status</t>
  </si>
  <si>
    <t>Amount</t>
  </si>
  <si>
    <t>S1001</t>
  </si>
  <si>
    <t>Omkar Deshmukh</t>
  </si>
  <si>
    <t>Nagpur</t>
  </si>
  <si>
    <t>Haier Inverter AC 2T</t>
  </si>
  <si>
    <t>Maintenance</t>
  </si>
  <si>
    <t>Vikram</t>
  </si>
  <si>
    <t>Pending</t>
  </si>
  <si>
    <t>S1002</t>
  </si>
  <si>
    <t>Ananya Joshi</t>
  </si>
  <si>
    <t>Aurangabad</t>
  </si>
  <si>
    <t>Haier Split AC 1.5T</t>
  </si>
  <si>
    <t>General Service</t>
  </si>
  <si>
    <t>Nitin</t>
  </si>
  <si>
    <t>In Progress</t>
  </si>
  <si>
    <t>S1003</t>
  </si>
  <si>
    <t>Aarav Kulkarni</t>
  </si>
  <si>
    <t>Amit</t>
  </si>
  <si>
    <t>S1004</t>
  </si>
  <si>
    <t>Gas Refill</t>
  </si>
  <si>
    <t>Completed</t>
  </si>
  <si>
    <t>S1005</t>
  </si>
  <si>
    <t>Pune</t>
  </si>
  <si>
    <t>Haier Split AC 1T</t>
  </si>
  <si>
    <t>S1006</t>
  </si>
  <si>
    <t>Rakesh</t>
  </si>
  <si>
    <t>S1007</t>
  </si>
  <si>
    <t>Kavya Patil</t>
  </si>
  <si>
    <t>Nashik</t>
  </si>
  <si>
    <t>S1008</t>
  </si>
  <si>
    <t>Mumbai</t>
  </si>
  <si>
    <t>Haier Window AC 1T</t>
  </si>
  <si>
    <t>S1009</t>
  </si>
  <si>
    <t>Repair</t>
  </si>
  <si>
    <t>S1010</t>
  </si>
  <si>
    <t>S1011</t>
  </si>
  <si>
    <t>Priya Sharma</t>
  </si>
  <si>
    <t>Suresh</t>
  </si>
  <si>
    <t>S1012</t>
  </si>
  <si>
    <t>Pooja Shinde</t>
  </si>
  <si>
    <t>S1013</t>
  </si>
  <si>
    <t>S1014</t>
  </si>
  <si>
    <t>Installation</t>
  </si>
  <si>
    <t>S1015</t>
  </si>
  <si>
    <t>Neha More</t>
  </si>
  <si>
    <t>S1016</t>
  </si>
  <si>
    <t>S1017</t>
  </si>
  <si>
    <t>Rohan Jadhav</t>
  </si>
  <si>
    <t>Thane</t>
  </si>
  <si>
    <t>S1018</t>
  </si>
  <si>
    <t>Rahul Patil</t>
  </si>
  <si>
    <t>S1019</t>
  </si>
  <si>
    <t>Sneha Joshi</t>
  </si>
  <si>
    <t>S1020</t>
  </si>
  <si>
    <t>Aditya Pawar</t>
  </si>
  <si>
    <t>S1021</t>
  </si>
  <si>
    <t>Sahil Mehta</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</si>
  <si>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</si>
  <si>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</si>
  <si>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</si>
  <si>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</si>
  <si>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</si>
  <si>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</si>
  <si>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</si>
  <si>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</si>
  <si>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</si>
  <si>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</si>
  <si>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</si>
  <si>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</si>
  <si>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</si>
  <si>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</si>
  <si>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</si>
  <si>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</si>
  <si>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</si>
  <si>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</si>
  <si>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</si>
  <si>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</si>
  <si>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</si>
  <si>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</si>
  <si>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</si>
  <si>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</si>
  <si>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</si>
  <si>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</si>
  <si>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</si>
  <si>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</si>
  <si>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</si>
  <si>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</si>
  <si>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</si>
  <si>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</si>
  <si>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</si>
  <si>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</si>
  <si>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</si>
  <si>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</si>
  <si>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</si>
  <si>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</si>
  <si>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</si>
  <si>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</si>
  <si>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</si>
  <si>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</si>
  <si>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</si>
  <si>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</si>
  <si>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</si>
  <si>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</si>
  <si>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</si>
  <si>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</si>
  <si>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</si>
  <si>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Haier AC Service Center</t>
  </si>
  <si>
    <t>1. What is the total revenue generated from all AC services?</t>
  </si>
  <si>
    <t>2. What is the total number of AC services booked?</t>
  </si>
  <si>
    <t>3. How many services have been completed successfully?</t>
  </si>
  <si>
    <t>4. How many services are currently pending?</t>
  </si>
  <si>
    <t>5. Which city generated the highest service revenue?</t>
  </si>
  <si>
    <t xml:space="preserve">Questions  :- </t>
  </si>
  <si>
    <t>Sum of Amount</t>
  </si>
  <si>
    <t>Row Labels</t>
  </si>
  <si>
    <t>Grand Total</t>
  </si>
  <si>
    <t>Count of Service ID</t>
  </si>
  <si>
    <t xml:space="preserve">Service Status </t>
  </si>
  <si>
    <t>Service status</t>
  </si>
  <si>
    <t>6. Which month recorded the maximum number of service bookings?</t>
  </si>
  <si>
    <t>Months</t>
  </si>
  <si>
    <t>8. Compare General Service, Repair, Gas Refill, Installation, and Maintenance bookings.</t>
  </si>
  <si>
    <t>7. Which technician handled the highest number of services?</t>
  </si>
  <si>
    <t>Technician Name</t>
  </si>
  <si>
    <t>Jul</t>
  </si>
  <si>
    <t>May</t>
  </si>
  <si>
    <t>Jun</t>
  </si>
  <si>
    <t>Aug</t>
  </si>
  <si>
    <t>Sep</t>
  </si>
  <si>
    <t>Haier AC Service Center Dashboard</t>
  </si>
  <si>
    <t>Total Revenue</t>
  </si>
  <si>
    <t>Total Service</t>
  </si>
  <si>
    <t>Completed Services</t>
  </si>
  <si>
    <t>In Progress Services</t>
  </si>
  <si>
    <t>Pending Services</t>
  </si>
  <si>
    <t>KPI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</si>
</sst>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Mangal"/>
      <family val="2"/>
      <scheme val="minor"/>
    </font>
    <font>
      <b/>
      <sz val="11"/>
      <color theme="1"/>
      <name val="Mangal"/>
      <family val="2"/>
      <scheme val="minor"/>
    </font>
    <font>
      <b/>
      <sz val="11"/>
      <color rgb="FFFFFFFF"/>
      <name val="Mangal"/>
    </font>
    <font>
      <b/>
      <sz val="11"/>
      <color theme="1"/>
      <name val="Mangal"/>
      <family val="1"/>
      <scheme val="minor"/>
    </font>
    <font>
      <b/>
      <sz val="20"/>
      <color theme="1"/>
      <name val="Mangal"/>
      <family val="1"/>
      <scheme val="minor"/>
    </font>
    <font>
      <sz val="20"/>
      <color theme="1"/>
      <name val="Mangal"/>
      <family val="1"/>
      <scheme val="minor"/>
    </font>
    <font>
      <b/>
      <sz val="22"/>
      <color theme="0"/>
      <name val="Mangal"/>
      <family val="1"/>
      <scheme val="minor"/>
    </font>
    <font>
      <b/>
      <sz val="28"/>
      <color theme="0"/>
      <name val="Arial Black"/>
      <family val="2"/>
    </font>
  </fonts>
  <fills count="8">
    <fill>
      <patternFill patternType="none"/>
    </fill>
    <fill>
      <patternFill patternType="gray125"/>
    </fill>
    <fill>
      <patternFill patternType="solid">
        <fgColor rgb="FF1F4E78"/>
        <bgColor rgb="FF1F4E78"/>
      </patternFill>
    </fill>
    <fill>
      <patternFill patternType="solid">
        <fgColor rgb="FFFFFF00"/>
        <bgColor indexed="64"/>
      </patternFill>
    </fill>
    <fill>
      <patternFill patternType="solid">
        <fgColor theme="8" tint="-0.499984740745262"/>
        <bgColor indexed="64"/>
      </patternFill>
    </fill>
    <fill>
      <patternFill patternType="solid">
        <fgColor theme="0"/>
        <bgColor indexed="64"/>
      </patternFill>
    </fill>
    <fill>
      <patternFill patternType="solid">
        <fgColor theme="4" tint="-0.249977111117893"/>
        <bgColor indexed="64"/>
      </patternFill>
    </fill>
    <fill>
      <patternFill patternType="solid">
        <fgColor theme="4" tint="-0.499984740745262"/>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theme="0" tint="-4.9989318521683403E-2"/>
      </left>
      <right/>
      <top/>
      <bottom/>
      <diagonal/>
    </border>
  </borders>
  <cellStyleXfs count="1">
    <xf numFmtId="0" fontId="0" fillId="0" borderId="0"/>
  </cellStyleXfs>
  <cellXfs count="21">
    <xf numFmtId="0" fontId="0" fillId="0" borderId="0" xfId="0"/>
    <xf numFmtId="0" fontId="2" fillId="2" borderId="0" xfId="0" applyFont="1" applyFill="1" applyAlignment="1">
      <alignment horizontal="center"/>
    </xf>
    <xf numFmtId="0" fontId="0" fillId="0" borderId="0" xfId="0" applyAlignment="1">
      <alignment horizontal="center"/>
    </xf>
    <xf numFmtId="14" fontId="0" fillId="0" borderId="0" xfId="0" applyNumberFormat="1" applyAlignment="1">
      <alignment vertical="center" wrapText="1"/>
    </xf>
    <xf numFmtId="0" fontId="1" fillId="4" borderId="0" xfId="0" applyFont="1" applyFill="1" applyAlignment="1">
      <alignment horizontal="center" vertical="center" wrapText="1"/>
    </xf>
    <xf numFmtId="0" fontId="0" fillId="0" borderId="0" xfId="0" applyAlignment="1">
      <alignment horizontal="left" vertical="center" indent="1"/>
    </xf>
    <xf numFmtId="0" fontId="3" fillId="0" borderId="4" xfId="0" applyFont="1" applyBorder="1"/>
    <xf numFmtId="0" fontId="0" fillId="0" borderId="4" xfId="0" applyBorder="1" applyAlignment="1">
      <alignment horizontal="left" vertical="center" indent="1"/>
    </xf>
    <xf numFmtId="0" fontId="0" fillId="0" borderId="0" xfId="0" pivotButton="1"/>
    <xf numFmtId="0" fontId="0" fillId="0" borderId="0" xfId="0" applyAlignment="1">
      <alignment horizontal="left"/>
    </xf>
    <xf numFmtId="0" fontId="0" fillId="5" borderId="0" xfId="0" applyFill="1"/>
    <xf numFmtId="0" fontId="0" fillId="6" borderId="0" xfId="0" applyFill="1" applyAlignment="1">
      <alignment horizontal="center"/>
    </xf>
    <xf numFmtId="0" fontId="7" fillId="7" borderId="5" xfId="0" applyFont="1" applyFill="1" applyBorder="1" applyAlignment="1">
      <alignment horizontal="center"/>
    </xf>
    <xf numFmtId="0" fontId="6" fillId="7" borderId="0" xfId="0" applyFont="1" applyFill="1" applyAlignment="1">
      <alignment horizontal="center"/>
    </xf>
    <xf numFmtId="0" fontId="6" fillId="7" borderId="5" xfId="0" applyFont="1" applyFill="1" applyBorder="1" applyAlignment="1">
      <alignment horizontal="center"/>
    </xf>
    <xf numFmtId="0" fontId="4"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3" fillId="0" borderId="4" xfId="0" applyFont="1" applyBorder="1" applyAlignment="1">
      <alignment vertical="center"/>
    </xf>
    <xf numFmtId="0" fontId="3" fillId="3" borderId="4" xfId="0" applyFont="1" applyFill="1" applyBorder="1" applyAlignment="1">
      <alignment horizontal="center"/>
    </xf>
    <xf numFmtId="0" fontId="0" fillId="0" borderId="0" xfId="0" applyNumberFormat="1"/>
  </cellXfs>
  <cellStyles count="1">
    <cellStyle name="Normal" xfId="0" builtinId="0"/>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FFFF"/>
        <name val="Mangal"/>
        <scheme val="none"/>
      </font>
      <fill>
        <patternFill patternType="solid">
          <fgColor rgb="FF1F4E78"/>
          <bgColor rgb="FF1F4E78"/>
        </patternFill>
      </fill>
      <alignment horizontal="center" vertical="bottom" textRotation="0" wrapText="0" indent="0" justifyLastLine="0" shrinkToFit="0" readingOrder="0"/>
    </dxf>
  </dxfs>
  <tableStyles count="0" defaultTableStyle="TableStyleMedium2" defaultPivotStyle="PivotStyleLight16"/>
  <colors>
    <mruColors>
      <color rgb="FFFFA7A7"/>
      <color rgb="FFFF0000"/>
      <color rgb="FFD5C7F1"/>
      <color rgb="FF652AA6"/>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[Haier Service Center.xlsx]Booking Status!PivotTable2</c:name>
    <c:fmtId val="5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 BY CITY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'Booking Status'!$B$3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'Booking Status'!$A$4:$A$10</c:f>
              <c:strCache>
                <c:ptCount val="6"/>
                <c:pt idx="0">
                  <c:v>Aurangabad</c:v>
                </c:pt>
                <c:pt idx="1">
                  <c:v>Mumbai</c:v>
                </c:pt>
                <c:pt idx="2">
                  <c:v>Nagpur</c:v>
                </c:pt>
                <c:pt idx="3">
                  <c:v>Nashik</c:v>
                </c:pt>
                <c:pt idx="4">
                  <c:v>Pune</c:v>
                </c:pt>
                <c:pt idx="5">
                  <c:v>Thane</c:v>
                </c:pt>
              </c:strCache>
            </c:strRef>
          </c:cat>
          <c:val>
            <c:numRef>
              <c:f>'Booking Status'!$B$4:$B$10</c:f>
              <c:numCache>
                <c:formatCode>General</c:formatCode>
                <c:ptCount val="6"/>
                <c:pt idx="0">
                  <c:v>6</c:v>
                </c:pt>
                <c:pt idx="1">
                  <c:v>11</c:v>
                </c:pt>
                <c:pt idx="2">
                  <c:v>13</c:v>
                </c:pt>
                <c:pt idx="3">
                  <c:v>16</c:v>
                </c:pt>
                <c:pt idx="4">
                  <c:v>13</c:v>
                </c:pt>
                <c:pt idx="5">
                  <c:v>11</c:v>
                </c:pt>
              </c:numCache>
            </c:numRef>
          </c:val>
          <c:extLst>
            <c:ext xmlns:c16="http://schemas.microsoft.com/office/drawing/2014/chart" uri="{C3380CC4-5D6E-409C-BE32-E72D297353CC}">
              <c16:uniqueId val="{00000000-1766-423A-A148-385C00885E51}"/>
            </c:ext>
          </c:extLst>
        </c:ser>
        <c:dLbls>
          <c:dLblPos val="ctr"/>
          <c:showLegendKey val="0"/>
          <c:showVal val="1"/>
          <c:showCatName val="0"/>
          <c:showSerName val="0"/>
          <c:showPercent val="0"/>
          <c:showBubbleSize val="0"/>
        </c:dLbls>
        <c:gapWidth val="150"/>
        <c:overlap val="100"/>
        <c:axId val="1838588896"/>
        <c:axId val="1838589376"/>
      </c:barChart>
      <c:catAx>
        <c:axId val="183858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hi-IN"/>
          </a:p>
        </c:txPr>
        <c:crossAx val="1838589376"/>
        <c:crosses val="autoZero"/>
        <c:auto val="1"/>
        <c:lblAlgn val="ctr"/>
        <c:lblOffset val="100"/>
        <c:noMultiLvlLbl val="0"/>
      </c:catAx>
      <c:valAx>
        <c:axId val="18385893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58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228600">
        <a:srgbClr val="00B0F0">
          <a:alpha val="40000"/>
        </a:srgbClr>
      </a:glow>
      <a:outerShdw blurRad="50800" dist="38100" dir="2700000" algn="tl" rotWithShape="0">
        <a:prstClr val="black">
          <a:alpha val="40000"/>
        </a:prstClr>
      </a:outerShdw>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Center.xlsx]Monthly record!PivotTable6</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SERVICE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record'!$B$3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record'!$A$4:$A$9</c:f>
              <c:strCache>
                <c:ptCount val="5"/>
                <c:pt idx="0">
                  <c:v>May</c:v>
                </c:pt>
                <c:pt idx="1">
                  <c:v>Jun</c:v>
                </c:pt>
                <c:pt idx="2">
                  <c:v>Jul</c:v>
                </c:pt>
                <c:pt idx="3">
                  <c:v>Aug</c:v>
                </c:pt>
                <c:pt idx="4">
                  <c:v>Sep</c:v>
                </c:pt>
              </c:strCache>
            </c:strRef>
          </c:cat>
          <c:val>
            <c:numRef>
              <c:f>'Monthly record'!$B$4:$B$9</c:f>
              <c:numCache>
                <c:formatCode>General</c:formatCode>
                <c:ptCount val="5"/>
                <c:pt idx="0">
                  <c:v>16</c:v>
                </c:pt>
                <c:pt idx="1">
                  <c:v>15</c:v>
                </c:pt>
                <c:pt idx="2">
                  <c:v>15</c:v>
                </c:pt>
                <c:pt idx="3">
                  <c:v>16</c:v>
                </c:pt>
                <c:pt idx="4">
                  <c:v>8</c:v>
                </c:pt>
              </c:numCache>
            </c:numRef>
          </c:val>
          <c:smooth val="0"/>
          <c:extLst>
            <c:ext xmlns:c16="http://schemas.microsoft.com/office/drawing/2014/chart" uri="{C3380CC4-5D6E-409C-BE32-E72D297353CC}">
              <c16:uniqueId val="{00000000-C1C1-494E-B873-04B4937291E2}"/>
            </c:ext>
          </c:extLst>
        </c:ser>
        <c:dLbls>
          <c:dLblPos val="ctr"/>
          <c:showLegendKey val="0"/>
          <c:showVal val="1"/>
          <c:showCatName val="0"/>
          <c:showSerName val="0"/>
          <c:showPercent val="0"/>
          <c:showBubbleSize val="0"/>
        </c:dLbls>
        <c:marker val="1"/>
        <c:smooth val="0"/>
        <c:axId val="1838590816"/>
        <c:axId val="1838591296"/>
      </c:lineChart>
      <c:catAx>
        <c:axId val="1838590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591296"/>
        <c:crosses val="autoZero"/>
        <c:auto val="1"/>
        <c:lblAlgn val="ctr"/>
        <c:lblOffset val="100"/>
        <c:noMultiLvlLbl val="0"/>
      </c:catAx>
      <c:valAx>
        <c:axId val="183859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5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228600">
        <a:srgbClr val="00B0F0">
          <a:alpha val="40000"/>
        </a:srgbClr>
      </a:glow>
      <a:outerShdw blurRad="50800" dist="38100" dir="2700000" algn="tl" rotWithShape="0">
        <a:prstClr val="black">
          <a:alpha val="40000"/>
        </a:prstClr>
      </a:outerShdw>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Center.xlsx]Technician Performance!PivotTable7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SERVICES</a:t>
            </a:r>
            <a:r>
              <a:rPr lang="en-US" b="1" baseline="0"/>
              <a:t> BY TECHNICIANS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'Technician Performance'!$B$3</c:f>
              <c:strCache>
                <c:ptCount val="1"/>
                <c:pt idx="0">
                  <c:v>Total</c:v>
                </c:pt>
              </c:strCache>
            </c:strRef>
          </c:tx>
          <c:spPr>
            <a:solidFill>
              <a:schemeClr val="accent1"/>
            </a:solidFill>
            <a:ln>
              <a:noFill/>
            </a:ln>
            <a:effectLst/>
          </c:spPr>
          <c:invertIfNegative val="0"/>
          <c:cat>
            <c:strRef>
              <c:f>'Technician Performance'!$A$4:$A$9</c:f>
              <c:strCache>
                <c:ptCount val="5"/>
                <c:pt idx="0">
                  <c:v>Amit</c:v>
                </c:pt>
                <c:pt idx="1">
                  <c:v>Nitin</c:v>
                </c:pt>
                <c:pt idx="2">
                  <c:v>Rakesh</c:v>
                </c:pt>
                <c:pt idx="3">
                  <c:v>Suresh</c:v>
                </c:pt>
                <c:pt idx="4">
                  <c:v>Vikram</c:v>
                </c:pt>
              </c:strCache>
            </c:strRef>
          </c:cat>
          <c:val>
            <c:numRef>
              <c:f>'Technician Performance'!$B$4:$B$9</c:f>
              <c:numCache>
                <c:formatCode>General</c:formatCode>
                <c:ptCount val="5"/>
                <c:pt idx="0">
                  <c:v>19</c:v>
                </c:pt>
                <c:pt idx="1">
                  <c:v>19</c:v>
                </c:pt>
                <c:pt idx="2">
                  <c:v>11</c:v>
                </c:pt>
                <c:pt idx="3">
                  <c:v>10</c:v>
                </c:pt>
                <c:pt idx="4">
                  <c:v>11</c:v>
                </c:pt>
              </c:numCache>
            </c:numRef>
          </c:val>
          <c:extLst>
            <c:ext xmlns:c16="http://schemas.microsoft.com/office/drawing/2014/chart" uri="{C3380CC4-5D6E-409C-BE32-E72D297353CC}">
              <c16:uniqueId val="{00000000-DB6F-4620-AF55-FFAA99271423}"/>
            </c:ext>
          </c:extLst>
        </c:ser>
        <c:dLbls>
          <c:showLegendKey val="0"/>
          <c:showVal val="0"/>
          <c:showCatName val="0"/>
          <c:showSerName val="0"/>
          <c:showPercent val="0"/>
          <c:showBubbleSize val="0"/>
        </c:dLbls>
        <c:gapWidth val="182"/>
        <c:axId val="2040008832"/>
        <c:axId val="2040021312"/>
      </c:barChart>
      <c:catAx>
        <c:axId val="204000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40021312"/>
        <c:crosses val="autoZero"/>
        <c:auto val="1"/>
        <c:lblAlgn val="ctr"/>
        <c:lblOffset val="100"/>
        <c:noMultiLvlLbl val="0"/>
      </c:catAx>
      <c:valAx>
        <c:axId val="204002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4000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228600">
        <a:srgbClr val="00B0F0">
          <a:alpha val="40000"/>
        </a:srgbClr>
      </a:glow>
      <a:outerShdw blurRad="50800" dist="38100" dir="2700000" algn="tl" rotWithShape="0">
        <a:prstClr val="black">
          <a:alpha val="40000"/>
        </a:prstClr>
      </a:outerShdw>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Center.xlsx]Service Type Comparison!PivotTable8</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a:t>
            </a:r>
            <a:r>
              <a:rPr lang="en-US" baseline="0"/>
              <a:t> BY SERVICE TYPE</a:t>
            </a:r>
            <a:endParaRPr lang="en-US"/>
          </a:p>
        </c:rich>
      </c:tx>
      <c:layout>
        <c:manualLayout>
          <c:xMode val="edge"/>
          <c:yMode val="edge"/>
          <c:x val="0.32650176743790388"/>
          <c:y val="8.67177031756161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16019006776643"/>
          <c:y val="0.27792918003829253"/>
          <c:w val="0.7830115923009624"/>
          <c:h val="0.35445027704870224"/>
        </c:manualLayout>
      </c:layout>
      <c:bar3DChart>
        <c:barDir val="col"/>
        <c:grouping val="clustered"/>
        <c:varyColors val="0"/>
        <c:ser>
          <c:idx val="0"/>
          <c:order val="0"/>
          <c:tx>
            <c:strRef>
              <c:f>'Service Type Comparison'!$B$3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i-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'Service Type Comparison'!$A$4:$A$9</c:f>
              <c:strCache>
                <c:ptCount val="5"/>
                <c:pt idx="0">
                  <c:v>Gas Refill</c:v>
                </c:pt>
                <c:pt idx="1">
                  <c:v>General Service</c:v>
                </c:pt>
                <c:pt idx="2">
                  <c:v>Installation</c:v>
                </c:pt>
                <c:pt idx="3">
                  <c:v>Maintenance</c:v>
                </c:pt>
                <c:pt idx="4">
                  <c:v>Repair</c:v>
                </c:pt>
              </c:strCache>
            </c:strRef>
          </c:cat>
          <c:val>
            <c:numRef>
              <c:f>'Service Type Comparison'!$B$4:$B$9</c:f>
              <c:numCache>
                <c:formatCode>General</c:formatCode>
                <c:ptCount val="5"/>
                <c:pt idx="0">
                  <c:v>16</c:v>
                </c:pt>
                <c:pt idx="1">
                  <c:v>17</c:v>
                </c:pt>
                <c:pt idx="2">
                  <c:v>11</c:v>
                </c:pt>
                <c:pt idx="3">
                  <c:v>12</c:v>
                </c:pt>
                <c:pt idx="4">
                  <c:v>14</c:v>
                </c:pt>
              </c:numCache>
            </c:numRef>
          </c:val>
          <c:extLst>
            <c:ext xmlns:c16="http://schemas.microsoft.com/office/drawing/2014/chart" uri="{C3380CC4-5D6E-409C-BE32-E72D297353CC}">
              <c16:uniqueId val="{00000000-0897-4A3E-AE24-A08093910389}"/>
            </c:ext>
          </c:extLst>
        </c:ser>
        <c:dLbls>
          <c:showLegendKey val="0"/>
          <c:showVal val="1"/>
          <c:showCatName val="0"/>
          <c:showSerName val="0"/>
          <c:showPercent val="0"/>
          <c:showBubbleSize val="0"/>
        </c:dLbls>
        <c:gapWidth val="150"/>
        <c:shape val="box"/>
        <c:axId val="1838613856"/>
        <c:axId val="1838614336"/>
        <c:axId val="0"/>
      </c:bar3DChart>
      <c:catAx>
        <c:axId val="18386138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i-IN"/>
          </a:p>
        </c:txPr>
        <c:crossAx val="1838614336"/>
        <c:crosses val="autoZero"/>
        <c:auto val="1"/>
        <c:lblAlgn val="ctr"/>
        <c:lblOffset val="100"/>
        <c:noMultiLvlLbl val="0"/>
      </c:catAx>
      <c:valAx>
        <c:axId val="1838614336"/>
        <c:scaling>
          <c:orientation val="minMax"/>
        </c:scaling>
        <c:delete val="0"/>
        <c:axPos val="l"/>
        <c:majorGridlines>
          <c:spPr>
            <a:ln w="9525" cap="flat" cmpd="sng" algn="ctr">
              <a:solidFill>
                <a:srgbClr val="00B0F0"/>
              </a:solidFill>
              <a:round/>
            </a:ln>
            <a:effectLst>
              <a:outerShdw blurRad="50800" dist="38100" dir="2700000" algn="t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i-IN"/>
          </a:p>
        </c:txPr>
        <c:crossAx val="183861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74000">
            <a:schemeClr val="tx1">
              <a:lumMod val="95000"/>
              <a:lumOff val="5000"/>
            </a:schemeClr>
          </a:gs>
          <a:gs pos="83000">
            <a:schemeClr val="accent1">
              <a:lumMod val="45000"/>
              <a:lumOff val="55000"/>
            </a:schemeClr>
          </a:gs>
          <a:gs pos="100000">
            <a:schemeClr val="accent1">
              <a:lumMod val="30000"/>
              <a:lumOff val="70000"/>
            </a:schemeClr>
          </a:gs>
        </a:gsLst>
        <a:lin ang="5400000" scaled="1"/>
      </a:gradFill>
      <a:round/>
    </a:ln>
    <a:effectLst>
      <a:glow rad="228600">
        <a:schemeClr val="accent1">
          <a:satMod val="175000"/>
          <a:alpha val="40000"/>
        </a:schemeClr>
      </a:glow>
      <a:outerShdw blurRad="50800" dist="38100" dir="2700000" algn="tl" rotWithShape="0">
        <a:prstClr val="black">
          <a:alpha val="40000"/>
        </a:prstClr>
      </a:outerShdw>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Center.xlsx]Service Status!PivotTable3</c:name>
    <c:fmtId val="3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SERVICE STATUS OVERVIEW</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i-IN"/>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7222222222222221E-2"/>
          <c:y val="0.26738225430154566"/>
          <c:w val="0.76152318460192481"/>
          <c:h val="0.66317330125400986"/>
        </c:manualLayout>
      </c:layout>
      <c:doughnutChart>
        <c:varyColors val="1"/>
        <c:ser>
          <c:idx val="0"/>
          <c:order val="0"/>
          <c:tx>
            <c:strRef>
              <c:f>'Service Status'!$B$3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957-4B47-92A5-AF00B4BDDC1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957-4B47-92A5-AF00B4BDDC14}"/>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957-4B47-92A5-AF00B4BDDC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i-IN"/>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'Service Status'!$A$4:$A$7</c:f>
              <c:strCache>
                <c:ptCount val="3"/>
                <c:pt idx="0">
                  <c:v>Completed</c:v>
                </c:pt>
                <c:pt idx="1">
                  <c:v>In Progress</c:v>
                </c:pt>
                <c:pt idx="2">
                  <c:v>Pending</c:v>
                </c:pt>
              </c:strCache>
            </c:strRef>
          </c:cat>
          <c:val>
            <c:numRef>
              <c:f>'Service Status'!$B$4:$B$7</c:f>
              <c:numCache>
                <c:formatCode>General</c:formatCode>
                <c:ptCount val="3"/>
                <c:pt idx="0">
                  <c:v>27</c:v>
                </c:pt>
                <c:pt idx="1">
                  <c:v>24</c:v>
                </c:pt>
                <c:pt idx="2">
                  <c:v>19</c:v>
                </c:pt>
              </c:numCache>
            </c:numRef>
          </c:val>
          <c:extLst>
            <c:ext xmlns:c16="http://schemas.microsoft.com/office/drawing/2014/chart" uri="{C3380CC4-5D6E-409C-BE32-E72D297353CC}">
              <c16:uniqueId val="{00000006-6957-4B47-92A5-AF00B4BDDC14}"/>
            </c:ext>
          </c:extLst>
        </c:ser>
        <c:dLbls>
          <c:showLegendKey val="0"/>
          <c:showVal val="0"/>
          <c:showCatName val="1"/>
          <c:showSerName val="0"/>
          <c:showPercent val="0"/>
          <c:showBubbleSize val="0"/>
          <c:showLeaderLines val="1"/>
        </c:dLbls>
        <c:firstSliceAng val="0"/>
        <c:holeSize val="50"/>
      </c:doughnutChart>
      <c:spPr>
        <a:noFill/>
        <a:ln>
          <a:noFill/>
        </a:ln>
        <a:effectLst>
          <a:glow rad="228600">
            <a:schemeClr val="accent1">
              <a:satMod val="175000"/>
              <a:alpha val="40000"/>
            </a:schemeClr>
          </a:glow>
          <a:outerShdw blurRad="50800" dist="38100" dir="9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228600">
        <a:srgbClr val="00B0F0">
          <a:alpha val="40000"/>
        </a:srgbClr>
      </a:glow>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Center.xlsx]Highest Service Revenu!PivotTable5</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SERVICE</a:t>
            </a:r>
            <a:r>
              <a:rPr lang="en-IN" baseline="0"/>
              <a:t> BY CITY (COUNT)</a:t>
            </a:r>
            <a:endParaRPr lang="en-IN"/>
          </a:p>
        </c:rich>
      </c:tx>
      <c:layout>
        <c:manualLayout>
          <c:xMode val="edge"/>
          <c:yMode val="edge"/>
          <c:x val="0.32821493554418163"/>
          <c:y val="0.1008311461067366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Service Revenu'!$B$3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Service Revenu'!$A$4:$A$10</c:f>
              <c:strCache>
                <c:ptCount val="6"/>
                <c:pt idx="0">
                  <c:v>Aurangabad</c:v>
                </c:pt>
                <c:pt idx="1">
                  <c:v>Mumbai</c:v>
                </c:pt>
                <c:pt idx="2">
                  <c:v>Nagpur</c:v>
                </c:pt>
                <c:pt idx="3">
                  <c:v>Nashik</c:v>
                </c:pt>
                <c:pt idx="4">
                  <c:v>Pune</c:v>
                </c:pt>
                <c:pt idx="5">
                  <c:v>Thane</c:v>
                </c:pt>
              </c:strCache>
            </c:strRef>
          </c:cat>
          <c:val>
            <c:numRef>
              <c:f>'Highest Service Revenu'!$B$4:$B$10</c:f>
              <c:numCache>
                <c:formatCode>General</c:formatCode>
                <c:ptCount val="6"/>
                <c:pt idx="0">
                  <c:v>11100</c:v>
                </c:pt>
                <c:pt idx="1">
                  <c:v>20300</c:v>
                </c:pt>
                <c:pt idx="2">
                  <c:v>24400</c:v>
                </c:pt>
                <c:pt idx="3">
                  <c:v>27600</c:v>
                </c:pt>
                <c:pt idx="4">
                  <c:v>22900</c:v>
                </c:pt>
                <c:pt idx="5">
                  <c:v>20800</c:v>
                </c:pt>
              </c:numCache>
            </c:numRef>
          </c:val>
          <c:extLst>
            <c:ext xmlns:c16="http://schemas.microsoft.com/office/drawing/2014/chart" uri="{C3380CC4-5D6E-409C-BE32-E72D297353CC}">
              <c16:uniqueId val="{00000000-8E8B-46BE-B109-EC1B366C9541}"/>
            </c:ext>
          </c:extLst>
        </c:ser>
        <c:dLbls>
          <c:dLblPos val="inEnd"/>
          <c:showLegendKey val="0"/>
          <c:showVal val="1"/>
          <c:showCatName val="0"/>
          <c:showSerName val="0"/>
          <c:showPercent val="0"/>
          <c:showBubbleSize val="0"/>
        </c:dLbls>
        <c:gapWidth val="115"/>
        <c:overlap val="-20"/>
        <c:axId val="1838609536"/>
        <c:axId val="1838610016"/>
      </c:barChart>
      <c:catAx>
        <c:axId val="18386095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610016"/>
        <c:crosses val="autoZero"/>
        <c:auto val="1"/>
        <c:lblAlgn val="ctr"/>
        <c:lblOffset val="100"/>
        <c:noMultiLvlLbl val="0"/>
      </c:catAx>
      <c:valAx>
        <c:axId val="183861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60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a:glow rad="228600">
        <a:srgbClr val="00B0F0">
          <a:alpha val="40000"/>
        </a:srgbClr>
      </a:glow>
      <a:outerShdw blurRad="50800" dist="38100" dir="2700000" algn="tl" rotWithShape="0">
        <a:prstClr val="black">
          <a:alpha val="40000"/>
        </a:prstClr>
      </a:outerShdw>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Center.xlsx]Service Revenue report!PivotTable1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Revenu</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i-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hi-IN"/>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164651028790891"/>
          <c:y val="0.25237509211763465"/>
          <c:w val="0.3824299504934765"/>
          <c:h val="0.65536750852201575"/>
        </c:manualLayout>
      </c:layout>
      <c:doughnutChart>
        <c:varyColors val="1"/>
        <c:ser>
          <c:idx val="0"/>
          <c:order val="0"/>
          <c:tx>
            <c:strRef>
              <c:f>'Service Revenue report'!$B$3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248-411A-BC8B-555A38AF86C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248-411A-BC8B-555A38AF86C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248-411A-BC8B-555A38AF86C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C70-46D7-BF0A-37EFEB2F1C8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C70-46D7-BF0A-37EFEB2F1C8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hi-IN"/>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'Service Revenue report'!$A$4:$A$9</c:f>
              <c:strCache>
                <c:ptCount val="5"/>
                <c:pt idx="0">
                  <c:v>Gas Refill</c:v>
                </c:pt>
                <c:pt idx="1">
                  <c:v>General Service</c:v>
                </c:pt>
                <c:pt idx="2">
                  <c:v>Installation</c:v>
                </c:pt>
                <c:pt idx="3">
                  <c:v>Maintenance</c:v>
                </c:pt>
                <c:pt idx="4">
                  <c:v>Repair</c:v>
                </c:pt>
              </c:strCache>
            </c:strRef>
          </c:cat>
          <c:val>
            <c:numRef>
              <c:f>'Service Revenue report'!$B$4:$B$9</c:f>
              <c:numCache>
                <c:formatCode>General</c:formatCode>
                <c:ptCount val="5"/>
                <c:pt idx="0">
                  <c:v>29000</c:v>
                </c:pt>
                <c:pt idx="1">
                  <c:v>32000</c:v>
                </c:pt>
                <c:pt idx="2">
                  <c:v>19100</c:v>
                </c:pt>
                <c:pt idx="3">
                  <c:v>22600</c:v>
                </c:pt>
                <c:pt idx="4">
                  <c:v>24400</c:v>
                </c:pt>
              </c:numCache>
            </c:numRef>
          </c:val>
          <c:extLst>
            <c:ext xmlns:c16="http://schemas.microsoft.com/office/drawing/2014/chart" uri="{C3380CC4-5D6E-409C-BE32-E72D297353CC}">
              <c16:uniqueId val="{00000000-B33D-407D-AFA0-76B76D2166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[Haier Service Center.xlsx]Booking Status!PivotTable2</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Booking</a:t>
            </a:r>
            <a:r>
              <a:rPr lang="en-US" baseline="0"/>
              <a:t>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hi-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hi-I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'Booking Status'!$B$3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hi-I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'Booking Status'!$A$4:$A$10</c:f>
              <c:strCache>
                <c:ptCount val="6"/>
                <c:pt idx="0">
                  <c:v>Aurangabad</c:v>
                </c:pt>
                <c:pt idx="1">
                  <c:v>Mumbai</c:v>
                </c:pt>
                <c:pt idx="2">
                  <c:v>Nagpur</c:v>
                </c:pt>
                <c:pt idx="3">
                  <c:v>Nashik</c:v>
                </c:pt>
                <c:pt idx="4">
                  <c:v>Pune</c:v>
                </c:pt>
                <c:pt idx="5">
                  <c:v>Thane</c:v>
                </c:pt>
              </c:strCache>
            </c:strRef>
          </c:cat>
          <c:val>
            <c:numRef>
              <c:f>'Booking Status'!$B$4:$B$10</c:f>
              <c:numCache>
                <c:formatCode>General</c:formatCode>
                <c:ptCount val="6"/>
                <c:pt idx="0">
                  <c:v>6</c:v>
                </c:pt>
                <c:pt idx="1">
                  <c:v>11</c:v>
                </c:pt>
                <c:pt idx="2">
                  <c:v>13</c:v>
                </c:pt>
                <c:pt idx="3">
                  <c:v>16</c:v>
                </c:pt>
                <c:pt idx="4">
                  <c:v>13</c:v>
                </c:pt>
                <c:pt idx="5">
                  <c:v>11</c:v>
                </c:pt>
              </c:numCache>
            </c:numRef>
          </c:val>
          <c:extLst>
            <c:ext xmlns:c16="http://schemas.microsoft.com/office/drawing/2014/chart" uri="{C3380CC4-5D6E-409C-BE32-E72D297353CC}">
              <c16:uniqueId val="{00000000-C481-4744-B9A0-D3BD8B736F70}"/>
            </c:ext>
          </c:extLst>
        </c:ser>
        <c:dLbls>
          <c:dLblPos val="ctr"/>
          <c:showLegendKey val="0"/>
          <c:showVal val="1"/>
          <c:showCatName val="0"/>
          <c:showSerName val="0"/>
          <c:showPercent val="0"/>
          <c:showBubbleSize val="0"/>
        </c:dLbls>
        <c:gapWidth val="150"/>
        <c:overlap val="100"/>
        <c:axId val="1838588896"/>
        <c:axId val="1838589376"/>
      </c:barChart>
      <c:catAx>
        <c:axId val="183858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1838589376"/>
        <c:crosses val="autoZero"/>
        <c:auto val="1"/>
        <c:lblAlgn val="ctr"/>
        <c:lblOffset val="100"/>
        <c:noMultiLvlLbl val="0"/>
      </c:catAx>
      <c:valAx>
        <c:axId val="1838589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crossAx val="183858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Center.xlsx]Service Status!PivotTable3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Service</a:t>
            </a:r>
            <a:r>
              <a:rPr lang="en-IN" baseline="0"/>
              <a:t> Status</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i-IN"/>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hi-IN"/>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7222222222222221E-2"/>
          <c:y val="0.26738225430154566"/>
          <c:w val="0.76152318460192481"/>
          <c:h val="0.66317330125400986"/>
        </c:manualLayout>
      </c:layout>
      <c:doughnutChart>
        <c:varyColors val="1"/>
        <c:ser>
          <c:idx val="0"/>
          <c:order val="0"/>
          <c:tx>
            <c:strRef>
              <c:f>'Service Status'!$B$3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5D-4D57-AF06-423D26BDBA92}"/>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A83-4780-8D13-D4A52852C42C}"/>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A83-4780-8D13-D4A52852C4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hi-IN"/>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'Service Status'!$A$4:$A$7</c:f>
              <c:strCache>
                <c:ptCount val="3"/>
                <c:pt idx="0">
                  <c:v>Completed</c:v>
                </c:pt>
                <c:pt idx="1">
                  <c:v>In Progress</c:v>
                </c:pt>
                <c:pt idx="2">
                  <c:v>Pending</c:v>
                </c:pt>
              </c:strCache>
            </c:strRef>
          </c:cat>
          <c:val>
            <c:numRef>
              <c:f>'Service Status'!$B$4:$B$7</c:f>
              <c:numCache>
                <c:formatCode>General</c:formatCode>
                <c:ptCount val="3"/>
                <c:pt idx="0">
                  <c:v>27</c:v>
                </c:pt>
                <c:pt idx="1">
                  <c:v>24</c:v>
                </c:pt>
                <c:pt idx="2">
                  <c:v>19</c:v>
                </c:pt>
              </c:numCache>
            </c:numRef>
          </c:val>
          <c:extLst>
            <c:ext xmlns:c16="http://schemas.microsoft.com/office/drawing/2014/chart" uri="{C3380CC4-5D6E-409C-BE32-E72D297353CC}">
              <c16:uniqueId val="{00000000-4B5A-4C36-9751-88D4080CF39C}"/>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[Haier Service Center.xlsx]Pending Status!PivotTable4</c:name>
    <c:fmtId val="2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Pending</a:t>
            </a:r>
            <a:r>
              <a:rPr lang="en-IN" baseline="0"/>
              <a:t> status</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i-IN"/>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317500" algn="ctr" rotWithShape="0">
              <a:prstClr val="black">
                <a:alpha val="25000"/>
              </a:prstClr>
            </a:outerShdw>
          </a:effectLst>
        </c:spPr>
      </c:pivotFmt>
      <c:pivotFmt>
        <c:idx val="2"/>
        <c:spPr>
          <a:solidFill>
            <a:schemeClr val="accent4">
              <a:shade val="65000"/>
            </a:schemeClr>
          </a:solidFill>
          <a:ln>
            <a:noFill/>
          </a:ln>
          <a:effectLst>
            <a:outerShdw blurRad="317500" algn="ctr" rotWithShape="0">
              <a:prstClr val="black">
                <a:alpha val="25000"/>
              </a:prstClr>
            </a:outerShdw>
          </a:effectLst>
        </c:spPr>
      </c:pivotFmt>
      <c:pivotFmt>
        <c:idx val="3"/>
        <c:spPr>
          <a:solidFill>
            <a:schemeClr val="accent4">
              <a:tint val="65000"/>
            </a:schemeClr>
          </a:solidFill>
          <a:ln>
            <a:noFill/>
          </a:ln>
          <a:effectLst>
            <a:outerShdw blurRad="317500" algn="ctr" rotWithShape="0">
              <a:prstClr val="black">
                <a:alpha val="25000"/>
              </a:prstClr>
            </a:outerShdw>
          </a:effectLst>
        </c:spPr>
      </c:pivotFmt>
      <c:pivotFmt>
        <c:idx val="4"/>
        <c:spPr>
          <a:solidFill>
            <a:schemeClr val="accent4"/>
          </a:solidFill>
          <a:ln>
            <a:noFill/>
          </a:ln>
          <a:effectLst>
            <a:outerShdw blurRad="317500" algn="ctr" rotWithShape="0">
              <a:prstClr val="black">
                <a:alpha val="25000"/>
              </a:prstClr>
            </a:outerShdw>
          </a:effectLst>
        </c:spPr>
      </c:pivotFmt>
    </c:pivotFmts>
    <c:plotArea>
      <c:layout/>
      <c:pieChart>
        <c:varyColors val="1"/>
        <c:ser>
          <c:idx val="0"/>
          <c:order val="0"/>
          <c:tx>
            <c:strRef>
              <c:f>'Pending Status'!$B$3</c:f>
              <c:strCache>
                <c:ptCount val="1"/>
                <c:pt idx="0">
                  <c:v>Total</c:v>
                </c:pt>
              </c:strCache>
            </c:strRef>
          </c:tx>
          <c:dPt>
            <c:idx val="0"/>
            <c:bubble3D val="0"/>
            <c:spPr>
              <a:solidFill>
                <a:schemeClr val="accent4">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DEA-4BCE-A4D5-5BA337F4A57D}"/>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AE9-4A2C-9695-4FC77C84A7C8}"/>
              </c:ext>
            </c:extLst>
          </c:dPt>
          <c:dPt>
            <c:idx val="2"/>
            <c:bubble3D val="0"/>
            <c:spPr>
              <a:solidFill>
                <a:schemeClr val="accent4">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AE9-4A2C-9695-4FC77C84A7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i-IN"/>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'Pending Status'!$A$4:$A$7</c:f>
              <c:strCache>
                <c:ptCount val="3"/>
                <c:pt idx="0">
                  <c:v>Completed</c:v>
                </c:pt>
                <c:pt idx="1">
                  <c:v>In Progress</c:v>
                </c:pt>
                <c:pt idx="2">
                  <c:v>Pending</c:v>
                </c:pt>
              </c:strCache>
            </c:strRef>
          </c:cat>
          <c:val>
            <c:numRef>
              <c:f>'Pending Status'!$B$4:$B$7</c:f>
              <c:numCache>
                <c:formatCode>General</c:formatCode>
                <c:ptCount val="3"/>
                <c:pt idx="0">
                  <c:v>27</c:v>
                </c:pt>
                <c:pt idx="1">
                  <c:v>24</c:v>
                </c:pt>
                <c:pt idx="2">
                  <c:v>19</c:v>
                </c:pt>
              </c:numCache>
            </c:numRef>
          </c:val>
          <c:extLst>
            <c:ext xmlns:c16="http://schemas.microsoft.com/office/drawing/2014/chart" uri="{C3380CC4-5D6E-409C-BE32-E72D297353CC}">
              <c16:uniqueId val="{00000000-AD21-45D3-BACA-DE766010661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Center.xlsx]Highest Service Revenu!PivotTable5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a:t>
            </a:r>
            <a:r>
              <a:rPr lang="en-IN" baseline="0"/>
              <a:t> Service Revenu</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Service Revenu'!$B$3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Service Revenu'!$A$4:$A$10</c:f>
              <c:strCache>
                <c:ptCount val="6"/>
                <c:pt idx="0">
                  <c:v>Aurangabad</c:v>
                </c:pt>
                <c:pt idx="1">
                  <c:v>Mumbai</c:v>
                </c:pt>
                <c:pt idx="2">
                  <c:v>Nagpur</c:v>
                </c:pt>
                <c:pt idx="3">
                  <c:v>Nashik</c:v>
                </c:pt>
                <c:pt idx="4">
                  <c:v>Pune</c:v>
                </c:pt>
                <c:pt idx="5">
                  <c:v>Thane</c:v>
                </c:pt>
              </c:strCache>
            </c:strRef>
          </c:cat>
          <c:val>
            <c:numRef>
              <c:f>'Highest Service Revenu'!$B$4:$B$10</c:f>
              <c:numCache>
                <c:formatCode>General</c:formatCode>
                <c:ptCount val="6"/>
                <c:pt idx="0">
                  <c:v>11100</c:v>
                </c:pt>
                <c:pt idx="1">
                  <c:v>20300</c:v>
                </c:pt>
                <c:pt idx="2">
                  <c:v>24400</c:v>
                </c:pt>
                <c:pt idx="3">
                  <c:v>27600</c:v>
                </c:pt>
                <c:pt idx="4">
                  <c:v>22900</c:v>
                </c:pt>
                <c:pt idx="5">
                  <c:v>20800</c:v>
                </c:pt>
              </c:numCache>
            </c:numRef>
          </c:val>
          <c:extLst>
            <c:ext xmlns:c16="http://schemas.microsoft.com/office/drawing/2014/chart" uri="{C3380CC4-5D6E-409C-BE32-E72D297353CC}">
              <c16:uniqueId val="{00000000-D276-4796-8D65-B103E06EFE78}"/>
            </c:ext>
          </c:extLst>
        </c:ser>
        <c:dLbls>
          <c:dLblPos val="inEnd"/>
          <c:showLegendKey val="0"/>
          <c:showVal val="1"/>
          <c:showCatName val="0"/>
          <c:showSerName val="0"/>
          <c:showPercent val="0"/>
          <c:showBubbleSize val="0"/>
        </c:dLbls>
        <c:gapWidth val="115"/>
        <c:overlap val="-20"/>
        <c:axId val="1838609536"/>
        <c:axId val="1838610016"/>
      </c:barChart>
      <c:catAx>
        <c:axId val="18386095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610016"/>
        <c:crosses val="autoZero"/>
        <c:auto val="1"/>
        <c:lblAlgn val="ctr"/>
        <c:lblOffset val="100"/>
        <c:noMultiLvlLbl val="0"/>
      </c:catAx>
      <c:valAx>
        <c:axId val="183861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60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Center.xlsx]Monthly record!PivotTable6</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a:t>
            </a:r>
            <a:r>
              <a:rPr lang="en-IN" baseline="0"/>
              <a:t> Record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record'!$B$3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record'!$A$4:$A$9</c:f>
              <c:strCache>
                <c:ptCount val="5"/>
                <c:pt idx="0">
                  <c:v>May</c:v>
                </c:pt>
                <c:pt idx="1">
                  <c:v>Jun</c:v>
                </c:pt>
                <c:pt idx="2">
                  <c:v>Jul</c:v>
                </c:pt>
                <c:pt idx="3">
                  <c:v>Aug</c:v>
                </c:pt>
                <c:pt idx="4">
                  <c:v>Sep</c:v>
                </c:pt>
              </c:strCache>
            </c:strRef>
          </c:cat>
          <c:val>
            <c:numRef>
              <c:f>'Monthly record'!$B$4:$B$9</c:f>
              <c:numCache>
                <c:formatCode>General</c:formatCode>
                <c:ptCount val="5"/>
                <c:pt idx="0">
                  <c:v>16</c:v>
                </c:pt>
                <c:pt idx="1">
                  <c:v>15</c:v>
                </c:pt>
                <c:pt idx="2">
                  <c:v>15</c:v>
                </c:pt>
                <c:pt idx="3">
                  <c:v>16</c:v>
                </c:pt>
                <c:pt idx="4">
                  <c:v>8</c:v>
                </c:pt>
              </c:numCache>
            </c:numRef>
          </c:val>
          <c:smooth val="0"/>
          <c:extLst>
            <c:ext xmlns:c16="http://schemas.microsoft.com/office/drawing/2014/chart" uri="{C3380CC4-5D6E-409C-BE32-E72D297353CC}">
              <c16:uniqueId val="{00000000-5AFD-4773-9FF4-82FA692235C3}"/>
            </c:ext>
          </c:extLst>
        </c:ser>
        <c:dLbls>
          <c:dLblPos val="ctr"/>
          <c:showLegendKey val="0"/>
          <c:showVal val="1"/>
          <c:showCatName val="0"/>
          <c:showSerName val="0"/>
          <c:showPercent val="0"/>
          <c:showBubbleSize val="0"/>
        </c:dLbls>
        <c:marker val="1"/>
        <c:smooth val="0"/>
        <c:axId val="1838590816"/>
        <c:axId val="1838591296"/>
      </c:lineChart>
      <c:catAx>
        <c:axId val="1838590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591296"/>
        <c:crosses val="autoZero"/>
        <c:auto val="1"/>
        <c:lblAlgn val="ctr"/>
        <c:lblOffset val="100"/>
        <c:noMultiLvlLbl val="0"/>
      </c:catAx>
      <c:valAx>
        <c:axId val="183859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3859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rgbClr val="0070C0"/>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Center.xlsx]Technician Performance!PivotTable7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'Technician Performance'!$B$3</c:f>
              <c:strCache>
                <c:ptCount val="1"/>
                <c:pt idx="0">
                  <c:v>Total</c:v>
                </c:pt>
              </c:strCache>
            </c:strRef>
          </c:tx>
          <c:spPr>
            <a:solidFill>
              <a:schemeClr val="accent1"/>
            </a:solidFill>
            <a:ln>
              <a:noFill/>
            </a:ln>
            <a:effectLst/>
          </c:spPr>
          <c:invertIfNegative val="0"/>
          <c:cat>
            <c:strRef>
              <c:f>'Technician Performance'!$A$4:$A$9</c:f>
              <c:strCache>
                <c:ptCount val="5"/>
                <c:pt idx="0">
                  <c:v>Amit</c:v>
                </c:pt>
                <c:pt idx="1">
                  <c:v>Nitin</c:v>
                </c:pt>
                <c:pt idx="2">
                  <c:v>Rakesh</c:v>
                </c:pt>
                <c:pt idx="3">
                  <c:v>Suresh</c:v>
                </c:pt>
                <c:pt idx="4">
                  <c:v>Vikram</c:v>
                </c:pt>
              </c:strCache>
            </c:strRef>
          </c:cat>
          <c:val>
            <c:numRef>
              <c:f>'Technician Performance'!$B$4:$B$9</c:f>
              <c:numCache>
                <c:formatCode>General</c:formatCode>
                <c:ptCount val="5"/>
                <c:pt idx="0">
                  <c:v>19</c:v>
                </c:pt>
                <c:pt idx="1">
                  <c:v>19</c:v>
                </c:pt>
                <c:pt idx="2">
                  <c:v>11</c:v>
                </c:pt>
                <c:pt idx="3">
                  <c:v>10</c:v>
                </c:pt>
                <c:pt idx="4">
                  <c:v>11</c:v>
                </c:pt>
              </c:numCache>
            </c:numRef>
          </c:val>
          <c:extLst>
            <c:ext xmlns:c16="http://schemas.microsoft.com/office/drawing/2014/chart" uri="{C3380CC4-5D6E-409C-BE32-E72D297353CC}">
              <c16:uniqueId val="{00000000-A5C5-4548-885E-C225D1FE4616}"/>
            </c:ext>
          </c:extLst>
        </c:ser>
        <c:dLbls>
          <c:showLegendKey val="0"/>
          <c:showVal val="0"/>
          <c:showCatName val="0"/>
          <c:showSerName val="0"/>
          <c:showPercent val="0"/>
          <c:showBubbleSize val="0"/>
        </c:dLbls>
        <c:gapWidth val="182"/>
        <c:axId val="2040008832"/>
        <c:axId val="2040021312"/>
      </c:barChart>
      <c:catAx>
        <c:axId val="2040008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40021312"/>
        <c:crosses val="autoZero"/>
        <c:auto val="1"/>
        <c:lblAlgn val="ctr"/>
        <c:lblOffset val="100"/>
        <c:noMultiLvlLbl val="0"/>
      </c:catAx>
      <c:valAx>
        <c:axId val="204002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4000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[Haier Service Center.xlsx]Service Type Comparison!PivotTable8</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Service</a:t>
            </a:r>
            <a:r>
              <a:rPr lang="en-US" baseline="0"/>
              <a:t>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'Service Type Comparison'!$B$3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hi-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'Service Type Comparison'!$A$4:$A$9</c:f>
              <c:strCache>
                <c:ptCount val="5"/>
                <c:pt idx="0">
                  <c:v>Gas Refill</c:v>
                </c:pt>
                <c:pt idx="1">
                  <c:v>General Service</c:v>
                </c:pt>
                <c:pt idx="2">
                  <c:v>Installation</c:v>
                </c:pt>
                <c:pt idx="3">
                  <c:v>Maintenance</c:v>
                </c:pt>
                <c:pt idx="4">
                  <c:v>Repair</c:v>
                </c:pt>
              </c:strCache>
            </c:strRef>
          </c:cat>
          <c:val>
            <c:numRef>
              <c:f>'Service Type Comparison'!$B$4:$B$9</c:f>
              <c:numCache>
                <c:formatCode>General</c:formatCode>
                <c:ptCount val="5"/>
                <c:pt idx="0">
                  <c:v>16</c:v>
                </c:pt>
                <c:pt idx="1">
                  <c:v>17</c:v>
                </c:pt>
                <c:pt idx="2">
                  <c:v>11</c:v>
                </c:pt>
                <c:pt idx="3">
                  <c:v>12</c:v>
                </c:pt>
                <c:pt idx="4">
                  <c:v>14</c:v>
                </c:pt>
              </c:numCache>
            </c:numRef>
          </c:val>
          <c:extLst>
            <c:ext xmlns:c16="http://schemas.microsoft.com/office/drawing/2014/chart" uri="{C3380CC4-5D6E-409C-BE32-E72D297353CC}">
              <c16:uniqueId val="{00000000-750F-4C76-83AB-BC0229FFD010}"/>
            </c:ext>
          </c:extLst>
        </c:ser>
        <c:dLbls>
          <c:showLegendKey val="0"/>
          <c:showVal val="1"/>
          <c:showCatName val="0"/>
          <c:showSerName val="0"/>
          <c:showPercent val="0"/>
          <c:showBubbleSize val="0"/>
        </c:dLbls>
        <c:gapWidth val="150"/>
        <c:shape val="box"/>
        <c:axId val="1838613856"/>
        <c:axId val="1838614336"/>
        <c:axId val="0"/>
      </c:bar3DChart>
      <c:catAx>
        <c:axId val="18386138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i-IN"/>
          </a:p>
        </c:txPr>
        <c:crossAx val="1838614336"/>
        <c:crosses val="autoZero"/>
        <c:auto val="1"/>
        <c:lblAlgn val="ctr"/>
        <c:lblOffset val="100"/>
        <c:noMultiLvlLbl val="0"/>
      </c:catAx>
      <c:valAx>
        <c:axId val="18386143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i-IN"/>
          </a:p>
        </c:txPr>
        <c:crossAx val="183861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17417</xdr:colOff>
      <xdr:row>2</xdr:row>
      <xdr:rowOff>52251</xdr:rowOff>
    </xdr:from>
    <xdr:to>
      <xdr:col>4</xdr:col>
      <xdr:colOff>573677</xdr:colOff>
      <xdr:row>5</xdr:row>
      <xdr:rowOff>14151</xdr:rowOff>
    </xdr:to>
    <xdr:sp macro="" textlink="">
      <xdr:nvSpPr>
        <xdr:cNvPr id="19" name="Rectangle: Rounded Corners 18">
          <a:extLst>
            <a:ext uri="{FF2B5EF4-FFF2-40B4-BE49-F238E27FC236}">
              <a16:creationId xmlns:a16="http://schemas.microsoft.com/office/drawing/2014/main" id="{6F92CE98-1B06-D98B-273F-67E8495D19E7}"/>
            </a:ext>
          </a:extLst>
        </xdr:cNvPr>
        <xdr:cNvSpPr/>
      </xdr:nvSpPr>
      <xdr:spPr>
        <a:xfrm>
          <a:off x="2804160" y="661851"/>
          <a:ext cx="1906088" cy="876300"/>
        </a:xfrm>
        <a:prstGeom prst="roundRect">
          <a:avLst/>
        </a:prstGeom>
        <a:solidFill>
          <a:schemeClr val="accent1">
            <a:lumMod val="20000"/>
            <a:lumOff val="80000"/>
          </a:schemeClr>
        </a:solidFill>
        <a:ln>
          <a:solidFill>
            <a:schemeClr val="accent1">
              <a:lumMod val="40000"/>
              <a:lumOff val="6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b="1">
              <a:effectLst/>
            </a:rPr>
            <a:t>Total Revenue</a:t>
          </a:r>
        </a:p>
        <a:p>
          <a:pPr algn="ctr"/>
          <a:r>
            <a:rPr lang="en-US" sz="1800" b="1">
              <a:effectLst/>
            </a:rPr>
            <a:t>127100</a:t>
          </a:r>
          <a:endParaRPr lang="hi-IN" sz="1800" b="1">
            <a:effectLst/>
          </a:endParaRPr>
        </a:p>
        <a:p>
          <a:pPr algn="ctr"/>
          <a:endParaRPr lang="en-US"/>
        </a:p>
      </xdr:txBody>
    </xdr:sp>
    <xdr:clientData/>
  </xdr:twoCellAnchor>
  <xdr:twoCellAnchor>
    <xdr:from>
      <xdr:col>4</xdr:col>
      <xdr:colOff>655320</xdr:colOff>
      <xdr:row>2</xdr:row>
      <xdr:rowOff>22860</xdr:rowOff>
    </xdr:from>
    <xdr:to>
      <xdr:col>7</xdr:col>
      <xdr:colOff>624840</xdr:colOff>
      <xdr:row>5</xdr:row>
      <xdr:rowOff>7620</xdr:rowOff>
    </xdr:to>
    <xdr:sp macro="" textlink="">
      <xdr:nvSpPr>
        <xdr:cNvPr id="23" name="Rectangle: Rounded Corners 22">
          <a:extLst>
            <a:ext uri="{FF2B5EF4-FFF2-40B4-BE49-F238E27FC236}">
              <a16:creationId xmlns:a16="http://schemas.microsoft.com/office/drawing/2014/main" id="{68EB98C4-2762-4FAD-AD10-16C44123F138}"/>
            </a:ext>
          </a:extLst>
        </xdr:cNvPr>
        <xdr:cNvSpPr/>
      </xdr:nvSpPr>
      <xdr:spPr>
        <a:xfrm>
          <a:off x="3337560" y="640080"/>
          <a:ext cx="1981200" cy="899160"/>
        </a:xfrm>
        <a:prstGeom prst="roundRect">
          <a:avLst/>
        </a:prstGeom>
        <a:solidFill>
          <a:schemeClr val="accent6">
            <a:lumMod val="40000"/>
            <a:lumOff val="60000"/>
          </a:schemeClr>
        </a:solidFill>
        <a:ln>
          <a:solidFill>
            <a:schemeClr val="accent1">
              <a:lumMod val="40000"/>
              <a:lumOff val="6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r"/>
          <a:r>
            <a:rPr lang="en-US" sz="1800" b="1"/>
            <a:t>Total</a:t>
          </a:r>
          <a:r>
            <a:rPr lang="en-US" sz="1800" b="1" baseline="0"/>
            <a:t> Service </a:t>
          </a:r>
        </a:p>
        <a:p>
          <a:pPr algn="ctr"/>
          <a:r>
            <a:rPr lang="en-US" sz="1800" b="1" baseline="0"/>
            <a:t>70</a:t>
          </a:r>
          <a:endParaRPr lang="hi-IN" sz="1800" b="1"/>
        </a:p>
      </xdr:txBody>
    </xdr:sp>
    <xdr:clientData/>
  </xdr:twoCellAnchor>
  <xdr:twoCellAnchor editAs="oneCell">
    <xdr:from>
      <xdr:col>4</xdr:col>
      <xdr:colOff>632460</xdr:colOff>
      <xdr:row>2</xdr:row>
      <xdr:rowOff>152400</xdr:rowOff>
    </xdr:from>
    <xdr:to>
      <xdr:col>6</xdr:col>
      <xdr:colOff>30480</xdr:colOff>
      <xdr:row>4</xdr:row>
      <xdr:rowOff>281940</xdr:rowOff>
    </xdr:to>
    <xdr:pic>
      <xdr:nvPicPr>
        <xdr:cNvPr id="25" name="Graphic 24" descr="List with solid fill">
          <a:extLst>
            <a:ext uri="{FF2B5EF4-FFF2-40B4-BE49-F238E27FC236}">
              <a16:creationId xmlns:a16="http://schemas.microsoft.com/office/drawing/2014/main" id="{6F58CA8E-94F3-B6BE-41FF-430A85C92C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14700" y="769620"/>
          <a:ext cx="739140" cy="739140"/>
        </a:xfrm>
        <a:prstGeom prst="rect">
          <a:avLst/>
        </a:prstGeom>
      </xdr:spPr>
    </xdr:pic>
    <xdr:clientData/>
  </xdr:twoCellAnchor>
  <xdr:twoCellAnchor>
    <xdr:from>
      <xdr:col>8</xdr:col>
      <xdr:colOff>0</xdr:colOff>
      <xdr:row>2</xdr:row>
      <xdr:rowOff>30480</xdr:rowOff>
    </xdr:from>
    <xdr:to>
      <xdr:col>11</xdr:col>
      <xdr:colOff>22860</xdr:colOff>
      <xdr:row>5</xdr:row>
      <xdr:rowOff>0</xdr:rowOff>
    </xdr:to>
    <xdr:sp macro="" textlink="">
      <xdr:nvSpPr>
        <xdr:cNvPr id="26" name="Rectangle: Rounded Corners 25">
          <a:extLst>
            <a:ext uri="{FF2B5EF4-FFF2-40B4-BE49-F238E27FC236}">
              <a16:creationId xmlns:a16="http://schemas.microsoft.com/office/drawing/2014/main" id="{57331A46-680E-4CCD-A6D4-873BECABAC7D}"/>
            </a:ext>
          </a:extLst>
        </xdr:cNvPr>
        <xdr:cNvSpPr/>
      </xdr:nvSpPr>
      <xdr:spPr>
        <a:xfrm>
          <a:off x="5364480" y="647700"/>
          <a:ext cx="2034540" cy="883920"/>
        </a:xfrm>
        <a:prstGeom prst="roundRect">
          <a:avLst/>
        </a:prstGeom>
        <a:solidFill>
          <a:srgbClr val="D5C7F1"/>
        </a:solidFill>
        <a:ln>
          <a:solidFill>
            <a:schemeClr val="accent1">
              <a:lumMod val="40000"/>
              <a:lumOff val="6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r"/>
          <a:r>
            <a:rPr lang="en-US" sz="1800" b="1">
              <a:solidFill>
                <a:schemeClr val="tx1"/>
              </a:solidFill>
            </a:rPr>
            <a:t>Completed</a:t>
          </a:r>
        </a:p>
        <a:p>
          <a:pPr algn="r"/>
          <a:r>
            <a:rPr lang="en-US" sz="1800" b="1">
              <a:solidFill>
                <a:schemeClr val="tx1"/>
              </a:solidFill>
            </a:rPr>
            <a:t>27</a:t>
          </a:r>
          <a:endParaRPr lang="hi-IN" sz="1800" b="1">
            <a:solidFill>
              <a:schemeClr val="tx1"/>
            </a:solidFill>
          </a:endParaRPr>
        </a:p>
      </xdr:txBody>
    </xdr:sp>
    <xdr:clientData/>
  </xdr:twoCellAnchor>
  <xdr:twoCellAnchor editAs="oneCell">
    <xdr:from>
      <xdr:col>8</xdr:col>
      <xdr:colOff>83820</xdr:colOff>
      <xdr:row>2</xdr:row>
      <xdr:rowOff>45720</xdr:rowOff>
    </xdr:from>
    <xdr:to>
      <xdr:col>9</xdr:col>
      <xdr:colOff>152400</xdr:colOff>
      <xdr:row>4</xdr:row>
      <xdr:rowOff>175260</xdr:rowOff>
    </xdr:to>
    <xdr:pic>
      <xdr:nvPicPr>
        <xdr:cNvPr id="28" name="Graphic 27" descr="Checkmark with solid fill">
          <a:extLst>
            <a:ext uri="{FF2B5EF4-FFF2-40B4-BE49-F238E27FC236}">
              <a16:creationId xmlns:a16="http://schemas.microsoft.com/office/drawing/2014/main" id="{529D41B3-93EC-7F57-9E52-5909F8063A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48300" y="662940"/>
          <a:ext cx="739140" cy="739140"/>
        </a:xfrm>
        <a:prstGeom prst="rect">
          <a:avLst/>
        </a:prstGeom>
      </xdr:spPr>
    </xdr:pic>
    <xdr:clientData/>
  </xdr:twoCellAnchor>
  <xdr:twoCellAnchor>
    <xdr:from>
      <xdr:col>11</xdr:col>
      <xdr:colOff>76200</xdr:colOff>
      <xdr:row>2</xdr:row>
      <xdr:rowOff>7620</xdr:rowOff>
    </xdr:from>
    <xdr:to>
      <xdr:col>14</xdr:col>
      <xdr:colOff>60960</xdr:colOff>
      <xdr:row>4</xdr:row>
      <xdr:rowOff>251460</xdr:rowOff>
    </xdr:to>
    <xdr:sp macro="" textlink="">
      <xdr:nvSpPr>
        <xdr:cNvPr id="29" name="Rectangle: Rounded Corners 28">
          <a:extLst>
            <a:ext uri="{FF2B5EF4-FFF2-40B4-BE49-F238E27FC236}">
              <a16:creationId xmlns:a16="http://schemas.microsoft.com/office/drawing/2014/main" id="{B41B2995-DEBA-40DF-803B-A51797BD08ED}"/>
            </a:ext>
          </a:extLst>
        </xdr:cNvPr>
        <xdr:cNvSpPr/>
      </xdr:nvSpPr>
      <xdr:spPr>
        <a:xfrm>
          <a:off x="7452360" y="624840"/>
          <a:ext cx="1996440" cy="853440"/>
        </a:xfrm>
        <a:prstGeom prst="roundRect">
          <a:avLst/>
        </a:prstGeom>
        <a:solidFill>
          <a:schemeClr val="accent2">
            <a:lumMod val="20000"/>
            <a:lumOff val="80000"/>
          </a:schemeClr>
        </a:solidFill>
        <a:ln>
          <a:solidFill>
            <a:schemeClr val="accent1">
              <a:lumMod val="40000"/>
              <a:lumOff val="6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r"/>
          <a:r>
            <a:rPr lang="en-US" sz="1800" b="1"/>
            <a:t>In</a:t>
          </a:r>
          <a:r>
            <a:rPr lang="en-US" sz="1800" b="1" baseline="0"/>
            <a:t> Progress</a:t>
          </a:r>
        </a:p>
        <a:p>
          <a:pPr algn="r"/>
          <a:r>
            <a:rPr lang="en-US" sz="1800" b="1" baseline="0"/>
            <a:t>24</a:t>
          </a:r>
          <a:endParaRPr lang="hi-IN" sz="1800" b="1"/>
        </a:p>
      </xdr:txBody>
    </xdr:sp>
    <xdr:clientData/>
  </xdr:twoCellAnchor>
  <xdr:twoCellAnchor editAs="oneCell">
    <xdr:from>
      <xdr:col>11</xdr:col>
      <xdr:colOff>114300</xdr:colOff>
      <xdr:row>2</xdr:row>
      <xdr:rowOff>0</xdr:rowOff>
    </xdr:from>
    <xdr:to>
      <xdr:col>12</xdr:col>
      <xdr:colOff>266699</xdr:colOff>
      <xdr:row>4</xdr:row>
      <xdr:rowOff>213360</xdr:rowOff>
    </xdr:to>
    <xdr:pic>
      <xdr:nvPicPr>
        <xdr:cNvPr id="31" name="Graphic 30" descr="Statistics with solid fill">
          <a:extLst>
            <a:ext uri="{FF2B5EF4-FFF2-40B4-BE49-F238E27FC236}">
              <a16:creationId xmlns:a16="http://schemas.microsoft.com/office/drawing/2014/main" id="{0743DB09-A4AE-B086-EA43-9EBEE54F7D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90460" y="617220"/>
          <a:ext cx="822960" cy="822960"/>
        </a:xfrm>
        <a:prstGeom prst="rect">
          <a:avLst/>
        </a:prstGeom>
      </xdr:spPr>
    </xdr:pic>
    <xdr:clientData/>
  </xdr:twoCellAnchor>
  <xdr:twoCellAnchor>
    <xdr:from>
      <xdr:col>14</xdr:col>
      <xdr:colOff>167640</xdr:colOff>
      <xdr:row>2</xdr:row>
      <xdr:rowOff>38100</xdr:rowOff>
    </xdr:from>
    <xdr:to>
      <xdr:col>17</xdr:col>
      <xdr:colOff>121920</xdr:colOff>
      <xdr:row>4</xdr:row>
      <xdr:rowOff>289560</xdr:rowOff>
    </xdr:to>
    <xdr:sp macro="" textlink="">
      <xdr:nvSpPr>
        <xdr:cNvPr id="32" name="Rectangle: Rounded Corners 31">
          <a:extLst>
            <a:ext uri="{FF2B5EF4-FFF2-40B4-BE49-F238E27FC236}">
              <a16:creationId xmlns:a16="http://schemas.microsoft.com/office/drawing/2014/main" id="{C0608DF9-BCA9-40A6-B1B1-3FB4862FE539}"/>
            </a:ext>
          </a:extLst>
        </xdr:cNvPr>
        <xdr:cNvSpPr/>
      </xdr:nvSpPr>
      <xdr:spPr>
        <a:xfrm>
          <a:off x="9555480" y="655320"/>
          <a:ext cx="1965960" cy="861060"/>
        </a:xfrm>
        <a:prstGeom prst="roundRect">
          <a:avLst/>
        </a:prstGeom>
        <a:solidFill>
          <a:srgbClr val="FFA7A7"/>
        </a:solidFill>
        <a:ln>
          <a:solidFill>
            <a:schemeClr val="accent1">
              <a:lumMod val="40000"/>
              <a:lumOff val="6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r"/>
          <a:r>
            <a:rPr lang="en-US" sz="1800" b="1">
              <a:solidFill>
                <a:schemeClr val="tx1"/>
              </a:solidFill>
            </a:rPr>
            <a:t>Pending</a:t>
          </a:r>
        </a:p>
        <a:p>
          <a:pPr algn="r"/>
          <a:r>
            <a:rPr lang="en-US" sz="1800" b="1">
              <a:solidFill>
                <a:schemeClr val="tx1"/>
              </a:solidFill>
            </a:rPr>
            <a:t>19</a:t>
          </a:r>
          <a:endParaRPr lang="hi-IN" sz="1800" b="1">
            <a:solidFill>
              <a:schemeClr val="tx1"/>
            </a:solidFill>
          </a:endParaRPr>
        </a:p>
      </xdr:txBody>
    </xdr:sp>
    <xdr:clientData/>
  </xdr:twoCellAnchor>
  <xdr:twoCellAnchor editAs="oneCell">
    <xdr:from>
      <xdr:col>14</xdr:col>
      <xdr:colOff>259080</xdr:colOff>
      <xdr:row>2</xdr:row>
      <xdr:rowOff>30480</xdr:rowOff>
    </xdr:from>
    <xdr:to>
      <xdr:col>15</xdr:col>
      <xdr:colOff>502920</xdr:colOff>
      <xdr:row>5</xdr:row>
      <xdr:rowOff>30480</xdr:rowOff>
    </xdr:to>
    <xdr:pic>
      <xdr:nvPicPr>
        <xdr:cNvPr id="34" name="Graphic 33" descr="Clock with solid fill">
          <a:extLst>
            <a:ext uri="{FF2B5EF4-FFF2-40B4-BE49-F238E27FC236}">
              <a16:creationId xmlns:a16="http://schemas.microsoft.com/office/drawing/2014/main" id="{4ABE2CF0-C079-53B9-E899-7B5868D605C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646920" y="647700"/>
          <a:ext cx="914400" cy="914400"/>
        </a:xfrm>
        <a:prstGeom prst="rect">
          <a:avLst/>
        </a:prstGeom>
      </xdr:spPr>
    </xdr:pic>
    <xdr:clientData/>
  </xdr:twoCellAnchor>
  <xdr:twoCellAnchor>
    <xdr:from>
      <xdr:col>2</xdr:col>
      <xdr:colOff>138329</xdr:colOff>
      <xdr:row>14</xdr:row>
      <xdr:rowOff>283029</xdr:rowOff>
    </xdr:from>
    <xdr:to>
      <xdr:col>10</xdr:col>
      <xdr:colOff>272143</xdr:colOff>
      <xdr:row>24</xdr:row>
      <xdr:rowOff>119743</xdr:rowOff>
    </xdr:to>
    <xdr:graphicFrame macro="">
      <xdr:nvGraphicFramePr>
        <xdr:cNvPr id="36" name="Chart 35">
          <a:extLst>
            <a:ext uri="{FF2B5EF4-FFF2-40B4-BE49-F238E27FC236}">
              <a16:creationId xmlns:a16="http://schemas.microsoft.com/office/drawing/2014/main" id="{7AC1F245-7678-482D-91B4-E27E3E793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457200</xdr:colOff>
      <xdr:row>14</xdr:row>
      <xdr:rowOff>258071</xdr:rowOff>
    </xdr:from>
    <xdr:to>
      <xdr:col>18</xdr:col>
      <xdr:colOff>139390</xdr:colOff>
      <xdr:row>24</xdr:row>
      <xdr:rowOff>141514</xdr:rowOff>
    </xdr:to>
    <xdr:graphicFrame macro="">
      <xdr:nvGraphicFramePr>
        <xdr:cNvPr id="39" name="Chart 38">
          <a:extLst>
            <a:ext uri="{FF2B5EF4-FFF2-40B4-BE49-F238E27FC236}">
              <a16:creationId xmlns:a16="http://schemas.microsoft.com/office/drawing/2014/main" id="{D48F360E-A2C5-420E-AA07-BB5D2C458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286745</xdr:colOff>
      <xdr:row>13</xdr:row>
      <xdr:rowOff>148153</xdr:rowOff>
    </xdr:from>
    <xdr:to>
      <xdr:col>25</xdr:col>
      <xdr:colOff>175233</xdr:colOff>
      <xdr:row>24</xdr:row>
      <xdr:rowOff>152400</xdr:rowOff>
    </xdr:to>
    <xdr:graphicFrame macro="">
      <xdr:nvGraphicFramePr>
        <xdr:cNvPr id="40" name="Chart 39">
          <a:extLst>
            <a:ext uri="{FF2B5EF4-FFF2-40B4-BE49-F238E27FC236}">
              <a16:creationId xmlns:a16="http://schemas.microsoft.com/office/drawing/2014/main" id="{489173D7-EDA8-43D5-BE12-61F76908F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122396</xdr:colOff>
      <xdr:row>5</xdr:row>
      <xdr:rowOff>137797</xdr:rowOff>
    </xdr:from>
    <xdr:to>
      <xdr:col>10</xdr:col>
      <xdr:colOff>119743</xdr:colOff>
      <xdr:row>14</xdr:row>
      <xdr:rowOff>174173</xdr:rowOff>
    </xdr:to>
    <xdr:graphicFrame macro="">
      <xdr:nvGraphicFramePr>
        <xdr:cNvPr id="41" name="Chart 40">
          <a:extLst>
            <a:ext uri="{FF2B5EF4-FFF2-40B4-BE49-F238E27FC236}">
              <a16:creationId xmlns:a16="http://schemas.microsoft.com/office/drawing/2014/main" id="{2C70C80C-3407-4734-9BB5-ACF56900E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544286</xdr:colOff>
      <xdr:row>2</xdr:row>
      <xdr:rowOff>89740</xdr:rowOff>
    </xdr:from>
    <xdr:to>
      <xdr:col>25</xdr:col>
      <xdr:colOff>30798</xdr:colOff>
      <xdr:row>13</xdr:row>
      <xdr:rowOff>32657</xdr:rowOff>
    </xdr:to>
    <xdr:graphicFrame macro="">
      <xdr:nvGraphicFramePr>
        <xdr:cNvPr id="43" name="Chart 42">
          <a:extLst>
            <a:ext uri="{FF2B5EF4-FFF2-40B4-BE49-F238E27FC236}">
              <a16:creationId xmlns:a16="http://schemas.microsoft.com/office/drawing/2014/main" id="{50FAD15B-676C-4F1E-B3A9-1A60D5E17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103419</xdr:colOff>
      <xdr:row>6</xdr:row>
      <xdr:rowOff>241871</xdr:rowOff>
    </xdr:from>
    <xdr:to>
      <xdr:col>1</xdr:col>
      <xdr:colOff>1992086</xdr:colOff>
      <xdr:row>10</xdr:row>
      <xdr:rowOff>159495</xdr:rowOff>
    </xdr:to>
    <mc:AlternateContent xmlns:mc="http://schemas.openxmlformats.org/markup-compatibility/2006">
      <mc:Choice xmlns:a14="http://schemas.microsoft.com/office/drawing/2010/main" Requires="a14">
        <xdr:graphicFrame macro="">
          <xdr:nvGraphicFramePr>
            <xdr:cNvPr id="47" name="City">
              <a:extLst>
                <a:ext uri="{FF2B5EF4-FFF2-40B4-BE49-F238E27FC236}">
                  <a16:creationId xmlns:a16="http://schemas.microsoft.com/office/drawing/2014/main" id="{8275A779-A107-8991-EB90-FF750F4FDB2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3419" y="2070671"/>
              <a:ext cx="2563581" cy="1136824"/>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77985</xdr:colOff>
      <xdr:row>18</xdr:row>
      <xdr:rowOff>274954</xdr:rowOff>
    </xdr:from>
    <xdr:to>
      <xdr:col>1</xdr:col>
      <xdr:colOff>2002971</xdr:colOff>
      <xdr:row>23</xdr:row>
      <xdr:rowOff>61495</xdr:rowOff>
    </xdr:to>
    <mc:AlternateContent xmlns:mc="http://schemas.openxmlformats.org/markup-compatibility/2006">
      <mc:Choice xmlns:a14="http://schemas.microsoft.com/office/drawing/2010/main" Requires="a14">
        <xdr:graphicFrame macro="">
          <xdr:nvGraphicFramePr>
            <xdr:cNvPr id="48" name="Technician">
              <a:extLst>
                <a:ext uri="{FF2B5EF4-FFF2-40B4-BE49-F238E27FC236}">
                  <a16:creationId xmlns:a16="http://schemas.microsoft.com/office/drawing/2014/main" id="{1D28D2F7-027E-7918-E3F8-B782FC006491}"/>
                </a:ext>
              </a:extLst>
            </xdr:cNvPr>
            <xdr:cNvGraphicFramePr/>
          </xdr:nvGraphicFramePr>
          <xdr:xfrm>
            <a:off x="0" y="0"/>
            <a:ext cx="0" cy="0"/>
          </xdr:xfrm>
          <a:graphic>
            <a:graphicData uri="http://schemas.microsoft.com/office/drawing/2010/slicer">
              <sle:slicer xmlns:sle="http://schemas.microsoft.com/office/drawing/2010/slicer" name="Technician"/>
            </a:graphicData>
          </a:graphic>
        </xdr:graphicFrame>
      </mc:Choice>
      <mc:Fallback>
        <xdr:sp macro="" textlink="">
          <xdr:nvSpPr>
            <xdr:cNvPr id="0" name=""/>
            <xdr:cNvSpPr>
              <a:spLocks noTextEdit="1"/>
            </xdr:cNvSpPr>
          </xdr:nvSpPr>
          <xdr:spPr>
            <a:xfrm>
              <a:off x="77985" y="5761354"/>
              <a:ext cx="2599900" cy="1310541"/>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94700</xdr:colOff>
      <xdr:row>14</xdr:row>
      <xdr:rowOff>159868</xdr:rowOff>
    </xdr:from>
    <xdr:to>
      <xdr:col>1</xdr:col>
      <xdr:colOff>1992085</xdr:colOff>
      <xdr:row>18</xdr:row>
      <xdr:rowOff>160476</xdr:rowOff>
    </xdr:to>
    <mc:AlternateContent xmlns:mc="http://schemas.openxmlformats.org/markup-compatibility/2006">
      <mc:Choice xmlns:a14="http://schemas.microsoft.com/office/drawing/2010/main" Requires="a14">
        <xdr:graphicFrame macro="">
          <xdr:nvGraphicFramePr>
            <xdr:cNvPr id="49" name="Service Status">
              <a:extLst>
                <a:ext uri="{FF2B5EF4-FFF2-40B4-BE49-F238E27FC236}">
                  <a16:creationId xmlns:a16="http://schemas.microsoft.com/office/drawing/2014/main" id="{FA5144FA-E506-BE9B-B8D2-08287FC4FC91}"/>
                </a:ext>
              </a:extLst>
            </xdr:cNvPr>
            <xdr:cNvGraphicFramePr/>
          </xdr:nvGraphicFramePr>
          <xdr:xfrm>
            <a:off x="0" y="0"/>
            <a:ext cx="0" cy="0"/>
          </xdr:xfrm>
          <a:graphic>
            <a:graphicData uri="http://schemas.microsoft.com/office/drawing/2010/slicer">
              <sle:slicer xmlns:sle="http://schemas.microsoft.com/office/drawing/2010/slicer" name="Service Status"/>
            </a:graphicData>
          </a:graphic>
        </xdr:graphicFrame>
      </mc:Choice>
      <mc:Fallback>
        <xdr:sp macro="" textlink="">
          <xdr:nvSpPr>
            <xdr:cNvPr id="0" name=""/>
            <xdr:cNvSpPr>
              <a:spLocks noTextEdit="1"/>
            </xdr:cNvSpPr>
          </xdr:nvSpPr>
          <xdr:spPr>
            <a:xfrm>
              <a:off x="94700" y="4427068"/>
              <a:ext cx="2572299" cy="1219808"/>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90503</xdr:colOff>
      <xdr:row>10</xdr:row>
      <xdr:rowOff>272472</xdr:rowOff>
    </xdr:from>
    <xdr:to>
      <xdr:col>1</xdr:col>
      <xdr:colOff>2013857</xdr:colOff>
      <xdr:row>14</xdr:row>
      <xdr:rowOff>65680</xdr:rowOff>
    </xdr:to>
    <mc:AlternateContent xmlns:mc="http://schemas.openxmlformats.org/markup-compatibility/2006">
      <mc:Choice xmlns:a14="http://schemas.microsoft.com/office/drawing/2010/main" Requires="a14">
        <xdr:graphicFrame macro="">
          <xdr:nvGraphicFramePr>
            <xdr:cNvPr id="50" name="Months (Booking Date)">
              <a:extLst>
                <a:ext uri="{FF2B5EF4-FFF2-40B4-BE49-F238E27FC236}">
                  <a16:creationId xmlns:a16="http://schemas.microsoft.com/office/drawing/2014/main" id="{4FEF7974-36F4-9E0C-E7B9-38121531AFE7}"/>
                </a:ext>
              </a:extLst>
            </xdr:cNvPr>
            <xdr:cNvGraphicFramePr/>
          </xdr:nvGraphicFramePr>
          <xdr:xfrm>
            <a:off x="0" y="0"/>
            <a:ext cx="0" cy="0"/>
          </xdr:xfrm>
          <a:graphic>
            <a:graphicData uri="http://schemas.microsoft.com/office/drawing/2010/slicer">
              <sle:slicer xmlns:sle="http://schemas.microsoft.com/office/drawing/2010/slicer" name="Months (Booking Date)"/>
            </a:graphicData>
          </a:graphic>
        </xdr:graphicFrame>
      </mc:Choice>
      <mc:Fallback>
        <xdr:sp macro="" textlink="">
          <xdr:nvSpPr>
            <xdr:cNvPr id="0" name=""/>
            <xdr:cNvSpPr>
              <a:spLocks noTextEdit="1"/>
            </xdr:cNvSpPr>
          </xdr:nvSpPr>
          <xdr:spPr>
            <a:xfrm>
              <a:off x="90503" y="3320472"/>
              <a:ext cx="2598268" cy="1012408"/>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113043</xdr:colOff>
      <xdr:row>2</xdr:row>
      <xdr:rowOff>63283</xdr:rowOff>
    </xdr:from>
    <xdr:to>
      <xdr:col>1</xdr:col>
      <xdr:colOff>2002972</xdr:colOff>
      <xdr:row>6</xdr:row>
      <xdr:rowOff>110258</xdr:rowOff>
    </xdr:to>
    <mc:AlternateContent xmlns:mc="http://schemas.openxmlformats.org/markup-compatibility/2006">
      <mc:Choice xmlns:a14="http://schemas.microsoft.com/office/drawing/2010/main" Requires="a14">
        <xdr:graphicFrame macro="">
          <xdr:nvGraphicFramePr>
            <xdr:cNvPr id="46" name="Service Type">
              <a:extLst>
                <a:ext uri="{FF2B5EF4-FFF2-40B4-BE49-F238E27FC236}">
                  <a16:creationId xmlns:a16="http://schemas.microsoft.com/office/drawing/2014/main" id="{629E1AD2-6F12-2964-7DAB-1D299C64B9F1}"/>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dr:sp macro="" textlink="">
          <xdr:nvSpPr>
            <xdr:cNvPr id="0" name=""/>
            <xdr:cNvSpPr>
              <a:spLocks noTextEdit="1"/>
            </xdr:cNvSpPr>
          </xdr:nvSpPr>
          <xdr:spPr>
            <a:xfrm>
              <a:off x="113043" y="672883"/>
              <a:ext cx="2564843" cy="12661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293913</xdr:colOff>
      <xdr:row>5</xdr:row>
      <xdr:rowOff>119743</xdr:rowOff>
    </xdr:from>
    <xdr:to>
      <xdr:col>17</xdr:col>
      <xdr:colOff>359228</xdr:colOff>
      <xdr:row>14</xdr:row>
      <xdr:rowOff>119743</xdr:rowOff>
    </xdr:to>
    <xdr:graphicFrame macro="">
      <xdr:nvGraphicFramePr>
        <xdr:cNvPr id="2" name="Chart 1">
          <a:extLst>
            <a:ext uri="{FF2B5EF4-FFF2-40B4-BE49-F238E27FC236}">
              <a16:creationId xmlns:a16="http://schemas.microsoft.com/office/drawing/2014/main" id="{C751E178-5D9E-4C04-A99C-79400FAA5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97971</xdr:colOff>
      <xdr:row>0</xdr:row>
      <xdr:rowOff>87086</xdr:rowOff>
    </xdr:from>
    <xdr:to>
      <xdr:col>1</xdr:col>
      <xdr:colOff>2002972</xdr:colOff>
      <xdr:row>1</xdr:row>
      <xdr:rowOff>239486</xdr:rowOff>
    </xdr:to>
    <xdr:sp macro="" textlink="">
      <xdr:nvSpPr>
        <xdr:cNvPr id="3" name="Rectangle: Rounded Corners 2">
          <a:extLst>
            <a:ext uri="{FF2B5EF4-FFF2-40B4-BE49-F238E27FC236}">
              <a16:creationId xmlns:a16="http://schemas.microsoft.com/office/drawing/2014/main" id="{73131612-AD82-F5ED-7283-3B3E843507C4}"/>
            </a:ext>
          </a:extLst>
        </xdr:cNvPr>
        <xdr:cNvSpPr/>
      </xdr:nvSpPr>
      <xdr:spPr>
        <a:xfrm>
          <a:off x="97971" y="87086"/>
          <a:ext cx="2579915"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bg1"/>
              </a:solidFill>
              <a:latin typeface="Arial Black" panose="020B0A04020102020204" pitchFamily="34" charset="0"/>
            </a:rPr>
            <a:t>Filters</a:t>
          </a:r>
          <a:endParaRPr lang="hi-IN" sz="2000" b="1">
            <a:solidFill>
              <a:schemeClr val="bg1"/>
            </a:solidFill>
            <a:latin typeface="Arial Black" panose="020B0A04020102020204" pitchFamily="34" charset="0"/>
          </a:endParaRPr>
        </a:p>
      </xdr:txBody>
    </xdr:sp>
    <xdr:clientData/>
  </xdr:twoCellAnchor>
  <xdr:twoCellAnchor>
    <xdr:from>
      <xdr:col>2</xdr:col>
      <xdr:colOff>217714</xdr:colOff>
      <xdr:row>24</xdr:row>
      <xdr:rowOff>261257</xdr:rowOff>
    </xdr:from>
    <xdr:to>
      <xdr:col>15</xdr:col>
      <xdr:colOff>174171</xdr:colOff>
      <xdr:row>39</xdr:row>
      <xdr:rowOff>228600</xdr:rowOff>
    </xdr:to>
    <xdr:sp macro="" textlink="">
      <xdr:nvSpPr>
        <xdr:cNvPr id="4" name="Rectangle: Rounded Corners 3">
          <a:extLst>
            <a:ext uri="{FF2B5EF4-FFF2-40B4-BE49-F238E27FC236}">
              <a16:creationId xmlns:a16="http://schemas.microsoft.com/office/drawing/2014/main" id="{48DAE4A8-CF3A-E7E0-4001-7AFFD90A339A}"/>
            </a:ext>
          </a:extLst>
        </xdr:cNvPr>
        <xdr:cNvSpPr/>
      </xdr:nvSpPr>
      <xdr:spPr>
        <a:xfrm>
          <a:off x="3004457" y="7576457"/>
          <a:ext cx="8730343" cy="45393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hi-IN" sz="2100" b="1"/>
            <a:t>Service Insights</a:t>
          </a:r>
          <a:r>
            <a:rPr lang="en-US" sz="2100" b="1"/>
            <a:t> :- </a:t>
          </a:r>
          <a:endParaRPr lang="hi-IN" sz="2100" b="1"/>
        </a:p>
        <a:p>
          <a:pPr lvl="0"/>
          <a:r>
            <a:rPr lang="en-US" sz="1800" b="1"/>
            <a:t>1.</a:t>
          </a:r>
          <a:r>
            <a:rPr lang="en-US" sz="1800" b="1" baseline="0"/>
            <a:t> </a:t>
          </a:r>
          <a:r>
            <a:rPr lang="hi-IN" sz="1800" b="1"/>
            <a:t>A total of 70 AC service requests were recorded across different cities. </a:t>
          </a:r>
        </a:p>
        <a:p>
          <a:pPr lvl="0"/>
          <a:r>
            <a:rPr lang="en-US" sz="1800" b="1"/>
            <a:t>2. </a:t>
          </a:r>
          <a:r>
            <a:rPr lang="hi-IN" sz="1800" b="1"/>
            <a:t>Completed services are the highest, indicating good service efficiency. </a:t>
          </a:r>
        </a:p>
        <a:p>
          <a:pPr lvl="0"/>
          <a:r>
            <a:rPr lang="en-US" sz="1800" b="1"/>
            <a:t>3. </a:t>
          </a:r>
          <a:r>
            <a:rPr lang="hi-IN" sz="1800" b="1"/>
            <a:t>General Service is the most requested service type. </a:t>
          </a:r>
        </a:p>
        <a:p>
          <a:pPr lvl="0"/>
          <a:r>
            <a:rPr lang="en-US" sz="1800" b="1"/>
            <a:t>4. </a:t>
          </a:r>
          <a:r>
            <a:rPr lang="hi-IN" sz="1800" b="1"/>
            <a:t>Nashik generated the highest revenue, followed by Nagpur and Pune. </a:t>
          </a:r>
        </a:p>
        <a:p>
          <a:pPr lvl="0"/>
          <a:r>
            <a:rPr lang="en-US" sz="1800" b="1"/>
            <a:t>5. </a:t>
          </a:r>
          <a:r>
            <a:rPr lang="hi-IN" sz="1800" b="1"/>
            <a:t>Amit and Nitin handled the highest number of service requests among all technicians. </a:t>
          </a:r>
        </a:p>
        <a:p>
          <a:pPr lvl="0"/>
          <a:r>
            <a:rPr lang="en-US" sz="1800" b="1"/>
            <a:t>6. </a:t>
          </a:r>
          <a:r>
            <a:rPr lang="hi-IN" sz="1800" b="1"/>
            <a:t>The service demand remained stable from May to August, while a decline was observed in September. </a:t>
          </a:r>
        </a:p>
        <a:p>
          <a:pPr lvl="0"/>
          <a:r>
            <a:rPr lang="en-US" sz="1800" b="1"/>
            <a:t>7. </a:t>
          </a:r>
          <a:r>
            <a:rPr lang="hi-IN" sz="1800" b="1"/>
            <a:t>Pending and In Progress services require attention to improve the overall completion rate.</a:t>
          </a:r>
        </a:p>
        <a:p>
          <a:pPr algn="l"/>
          <a:endParaRPr lang="hi-IN" sz="1100"/>
        </a:p>
      </xdr:txBody>
    </xdr:sp>
    <xdr:clientData/>
  </xdr:twoCellAnchor>
  <xdr:twoCellAnchor>
    <xdr:from>
      <xdr:col>15</xdr:col>
      <xdr:colOff>283029</xdr:colOff>
      <xdr:row>25</xdr:row>
      <xdr:rowOff>0</xdr:rowOff>
    </xdr:from>
    <xdr:to>
      <xdr:col>26</xdr:col>
      <xdr:colOff>533400</xdr:colOff>
      <xdr:row>40</xdr:row>
      <xdr:rowOff>32658</xdr:rowOff>
    </xdr:to>
    <xdr:sp macro="" textlink="">
      <xdr:nvSpPr>
        <xdr:cNvPr id="5" name="Rectangle: Rounded Corners 4">
          <a:extLst>
            <a:ext uri="{FF2B5EF4-FFF2-40B4-BE49-F238E27FC236}">
              <a16:creationId xmlns:a16="http://schemas.microsoft.com/office/drawing/2014/main" id="{AE8BCDD8-A543-0B79-21D7-7A042610D6F3}"/>
            </a:ext>
          </a:extLst>
        </xdr:cNvPr>
        <xdr:cNvSpPr/>
      </xdr:nvSpPr>
      <xdr:spPr>
        <a:xfrm>
          <a:off x="11843658" y="7620000"/>
          <a:ext cx="7674428" cy="46046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hi-IN" sz="2200" b="1"/>
            <a:t>Service Performance Conclusion</a:t>
          </a:r>
        </a:p>
        <a:p>
          <a:pPr lvl="0"/>
          <a:r>
            <a:rPr lang="en-US" sz="1610" b="1"/>
            <a:t>1. </a:t>
          </a:r>
          <a:r>
            <a:rPr lang="hi-IN" sz="1610" b="1"/>
            <a:t>The dashboard provides a clear overview of AC service operations. </a:t>
          </a:r>
        </a:p>
        <a:p>
          <a:pPr lvl="0"/>
          <a:r>
            <a:rPr lang="en-US" sz="1610" b="1"/>
            <a:t>2. </a:t>
          </a:r>
          <a:r>
            <a:rPr lang="hi-IN" sz="1610" b="1"/>
            <a:t>It helps monitor Revenue, Service Status, City-wise Performance, and Technician Performance in one place. </a:t>
          </a:r>
        </a:p>
        <a:p>
          <a:pPr lvl="0"/>
          <a:r>
            <a:rPr lang="en-US" sz="1610" b="1"/>
            <a:t>3. </a:t>
          </a:r>
          <a:r>
            <a:rPr lang="hi-IN" sz="1610" b="1"/>
            <a:t>Interactive slicers allow users to analyze data quickly and efficiently. </a:t>
          </a:r>
        </a:p>
        <a:p>
          <a:pPr lvl="0"/>
          <a:r>
            <a:rPr lang="en-US" sz="1610" b="1"/>
            <a:t>4. </a:t>
          </a:r>
          <a:r>
            <a:rPr lang="hi-IN" sz="1610" b="1"/>
            <a:t>The dashboard identifies top-performing cities, technicians, and service types. </a:t>
          </a:r>
        </a:p>
        <a:p>
          <a:pPr lvl="0"/>
          <a:r>
            <a:rPr lang="en-US" sz="1610" b="1"/>
            <a:t>5. </a:t>
          </a:r>
          <a:r>
            <a:rPr lang="hi-IN" sz="1610" b="1"/>
            <a:t>It supports better decision-making by highlighting pending and ongoing services. </a:t>
          </a:r>
        </a:p>
        <a:p>
          <a:pPr lvl="0"/>
          <a:r>
            <a:rPr lang="en-US" sz="1610" b="1"/>
            <a:t>6. </a:t>
          </a:r>
          <a:r>
            <a:rPr lang="hi-IN" sz="1610" b="1"/>
            <a:t>Monthly trend analysis helps understand customer demand and seasonal patterns. </a:t>
          </a:r>
        </a:p>
        <a:p>
          <a:pPr lvl="0"/>
          <a:r>
            <a:rPr lang="en-US" sz="1610" b="1"/>
            <a:t>7. </a:t>
          </a:r>
          <a:r>
            <a:rPr lang="hi-IN" sz="1610" b="1"/>
            <a:t>Overall, the dashboard improves service monitoring, operational efficiency, and business performance.</a:t>
          </a:r>
        </a:p>
        <a:p>
          <a:pPr algn="l"/>
          <a:endParaRPr lang="hi-IN" sz="1100"/>
        </a:p>
      </xdr:txBody>
    </xdr:sp>
    <xdr:clientData/>
  </xdr:twoCellAnchor>
  <xdr:twoCellAnchor editAs="oneCell">
    <xdr:from>
      <xdr:col>2</xdr:col>
      <xdr:colOff>53997</xdr:colOff>
      <xdr:row>3</xdr:row>
      <xdr:rowOff>43402</xdr:rowOff>
    </xdr:from>
    <xdr:to>
      <xdr:col>2</xdr:col>
      <xdr:colOff>665959</xdr:colOff>
      <xdr:row>5</xdr:row>
      <xdr:rowOff>16633</xdr:rowOff>
    </xdr:to>
    <xdr:pic>
      <xdr:nvPicPr>
        <xdr:cNvPr id="7" name="Graphic 6" descr="Clipboard with solid fill">
          <a:extLst>
            <a:ext uri="{FF2B5EF4-FFF2-40B4-BE49-F238E27FC236}">
              <a16:creationId xmlns:a16="http://schemas.microsoft.com/office/drawing/2014/main" id="{2D8CB4F8-73E3-6ADA-B6A9-5C235B4B3E9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840740" y="957802"/>
          <a:ext cx="611962" cy="5828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270510</xdr:colOff>
      <xdr:row>0</xdr:row>
      <xdr:rowOff>240030</xdr:rowOff>
    </xdr:from>
    <xdr:to>
      <xdr:col>9</xdr:col>
      <xdr:colOff>297180</xdr:colOff>
      <xdr:row>9</xdr:row>
      <xdr:rowOff>251460</xdr:rowOff>
    </xdr:to>
    <xdr:graphicFrame macro="">
      <xdr:nvGraphicFramePr>
        <xdr:cNvPr id="2" name="Chart 1">
          <a:extLst>
            <a:ext uri="{FF2B5EF4-FFF2-40B4-BE49-F238E27FC236}">
              <a16:creationId xmlns:a16="http://schemas.microsoft.com/office/drawing/2014/main" id="{06A4EFCA-4554-868F-1A02-CAFE91067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476250</xdr:colOff>
      <xdr:row>1</xdr:row>
      <xdr:rowOff>57150</xdr:rowOff>
    </xdr:from>
    <xdr:to>
      <xdr:col>9</xdr:col>
      <xdr:colOff>354330</xdr:colOff>
      <xdr:row>10</xdr:row>
      <xdr:rowOff>57150</xdr:rowOff>
    </xdr:to>
    <xdr:graphicFrame macro="">
      <xdr:nvGraphicFramePr>
        <xdr:cNvPr id="4" name="Chart 3">
          <a:extLst>
            <a:ext uri="{FF2B5EF4-FFF2-40B4-BE49-F238E27FC236}">
              <a16:creationId xmlns:a16="http://schemas.microsoft.com/office/drawing/2014/main" id="{920A7D94-5FC7-07C1-8947-0D4EF2067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247650</xdr:colOff>
      <xdr:row>1</xdr:row>
      <xdr:rowOff>80010</xdr:rowOff>
    </xdr:from>
    <xdr:to>
      <xdr:col>7</xdr:col>
      <xdr:colOff>361950</xdr:colOff>
      <xdr:row>10</xdr:row>
      <xdr:rowOff>80010</xdr:rowOff>
    </xdr:to>
    <xdr:graphicFrame macro="">
      <xdr:nvGraphicFramePr>
        <xdr:cNvPr id="2" name="Chart 1">
          <a:extLst>
            <a:ext uri="{FF2B5EF4-FFF2-40B4-BE49-F238E27FC236}">
              <a16:creationId xmlns:a16="http://schemas.microsoft.com/office/drawing/2014/main" id="{889B7B4C-EEE5-96B2-D88E-CC7BD5F61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521970</xdr:colOff>
      <xdr:row>0</xdr:row>
      <xdr:rowOff>224790</xdr:rowOff>
    </xdr:from>
    <xdr:to>
      <xdr:col>8</xdr:col>
      <xdr:colOff>179070</xdr:colOff>
      <xdr:row>9</xdr:row>
      <xdr:rowOff>224790</xdr:rowOff>
    </xdr:to>
    <xdr:graphicFrame macro="">
      <xdr:nvGraphicFramePr>
        <xdr:cNvPr id="2" name="Chart 1">
          <a:extLst>
            <a:ext uri="{FF2B5EF4-FFF2-40B4-BE49-F238E27FC236}">
              <a16:creationId xmlns:a16="http://schemas.microsoft.com/office/drawing/2014/main" id="{0A934A6F-2E46-6264-6C1C-83680A1CA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285750</xdr:colOff>
      <xdr:row>0</xdr:row>
      <xdr:rowOff>278130</xdr:rowOff>
    </xdr:from>
    <xdr:to>
      <xdr:col>9</xdr:col>
      <xdr:colOff>163830</xdr:colOff>
      <xdr:row>9</xdr:row>
      <xdr:rowOff>278130</xdr:rowOff>
    </xdr:to>
    <xdr:graphicFrame macro="">
      <xdr:nvGraphicFramePr>
        <xdr:cNvPr id="2" name="Chart 1">
          <a:extLst>
            <a:ext uri="{FF2B5EF4-FFF2-40B4-BE49-F238E27FC236}">
              <a16:creationId xmlns:a16="http://schemas.microsoft.com/office/drawing/2014/main" id="{D9F493D7-94F4-65D5-3184-BDF5429B7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255270</xdr:colOff>
      <xdr:row>1</xdr:row>
      <xdr:rowOff>87630</xdr:rowOff>
    </xdr:from>
    <xdr:to>
      <xdr:col>10</xdr:col>
      <xdr:colOff>666750</xdr:colOff>
      <xdr:row>10</xdr:row>
      <xdr:rowOff>87630</xdr:rowOff>
    </xdr:to>
    <xdr:graphicFrame macro="">
      <xdr:nvGraphicFramePr>
        <xdr:cNvPr id="2" name="Chart 1">
          <a:extLst>
            <a:ext uri="{FF2B5EF4-FFF2-40B4-BE49-F238E27FC236}">
              <a16:creationId xmlns:a16="http://schemas.microsoft.com/office/drawing/2014/main" id="{8C9A2305-1835-F5D7-8696-136C683D8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316230</xdr:colOff>
      <xdr:row>1</xdr:row>
      <xdr:rowOff>118110</xdr:rowOff>
    </xdr:from>
    <xdr:to>
      <xdr:col>9</xdr:col>
      <xdr:colOff>194310</xdr:colOff>
      <xdr:row>10</xdr:row>
      <xdr:rowOff>118110</xdr:rowOff>
    </xdr:to>
    <xdr:graphicFrame macro="">
      <xdr:nvGraphicFramePr>
        <xdr:cNvPr id="3" name="Chart 2">
          <a:extLst>
            <a:ext uri="{FF2B5EF4-FFF2-40B4-BE49-F238E27FC236}">
              <a16:creationId xmlns:a16="http://schemas.microsoft.com/office/drawing/2014/main" id="{2E61BD7C-0F21-18E4-F77A-D6375A817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224790</xdr:colOff>
      <xdr:row>1</xdr:row>
      <xdr:rowOff>3810</xdr:rowOff>
    </xdr:from>
    <xdr:to>
      <xdr:col>9</xdr:col>
      <xdr:colOff>102870</xdr:colOff>
      <xdr:row>10</xdr:row>
      <xdr:rowOff>3810</xdr:rowOff>
    </xdr:to>
    <xdr:graphicFrame macro="">
      <xdr:nvGraphicFramePr>
        <xdr:cNvPr id="2" name="Chart 1">
          <a:extLst>
            <a:ext uri="{FF2B5EF4-FFF2-40B4-BE49-F238E27FC236}">
              <a16:creationId xmlns:a16="http://schemas.microsoft.com/office/drawing/2014/main" id="{5C34B9A0-E1B3-6AAA-C5F6-7D25D8135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ksha" refreshedDate="46152.514045949072" createdVersion="8" refreshedVersion="8" minRefreshableVersion="3" recordCount="70" xr:uid="{AC262FE3-7B2D-43A5-87FC-6361D2337FDD}">
  <cacheSource type="worksheet">
    <worksheetSource name="Table1"/>
  </cacheSource>
  <cacheFields count="12">
    <cacheField name="Service ID" numFmtId="0">
      <sharedItems count="7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haredItems>
    </cacheField>
    <cacheField name="Customer Name" numFmtId="0">
      <sharedItems/>
    </cacheField>
    <cacheField name="Contact No" numFmtId="0">
      <sharedItems containsSemiMixedTypes="0" containsString="0" containsNumber="1" containsInteger="1" minValue="9016881874" maxValue="9979725420"/>
    </cacheField>
    <cacheField name="City" numFmtId="0">
      <sharedItems count="6">
        <s v="Nagpur"/>
        <s v="Aurangabad"/>
        <s v="Pune"/>
        <s v="Nashik"/>
        <s v="Mumbai"/>
        <s v="Thane"/>
      </sharedItems>
    </cacheField>
    <cacheField name="AC Model" numFmtId="0">
      <sharedItems/>
    </cacheField>
    <cacheField name="Service Type" numFmtId="0">
      <sharedItems count="5">
        <s v="Maintenance"/>
        <s v="General Service"/>
        <s v="Gas Refill"/>
        <s v="Repair"/>
        <s v="Installation"/>
      </sharedItems>
    </cacheField>
    <cacheField name="Booking Date" numFmtId="14">
      <sharedItems containsSemiMixedTypes="0" containsNonDate="0" containsDate="1" containsString="0" minDate="2026-05-01T00:00:00" maxDate="2026-09-17T00:00:00" count="70">
        <d v="2026-05-01T00:00:00"/>
        <d v="2026-05-03T00:00:00"/>
        <d v="2026-05-05T00:00:00"/>
        <d v="2026-05-07T00:00:00"/>
        <d v="2026-05-09T00:00:00"/>
        <d v="2026-05-11T00:00:00"/>
        <d v="2026-05-13T00:00:00"/>
        <d v="2026-05-15T00:00:00"/>
        <d v="2026-05-17T00:00:00"/>
        <d v="2026-05-19T00:00:00"/>
        <d v="2026-05-21T00:00:00"/>
        <d v="2026-05-23T00:00:00"/>
        <d v="2026-05-25T00:00:00"/>
        <d v="2026-05-27T00:00:00"/>
        <d v="2026-05-29T00:00:00"/>
        <d v="2026-05-31T00:00:00"/>
        <d v="2026-06-02T00:00:00"/>
        <d v="2026-06-04T00:00:00"/>
        <d v="2026-06-06T00:00:00"/>
        <d v="2026-06-08T00:00:00"/>
        <d v="2026-06-10T00:00:00"/>
        <d v="2026-06-12T00:00:00"/>
        <d v="2026-06-14T00:00:00"/>
        <d v="2026-06-16T00:00:00"/>
        <d v="2026-06-18T00:00:00"/>
        <d v="2026-06-20T00:00:00"/>
        <d v="2026-06-22T00:00:00"/>
        <d v="2026-06-24T00:00:00"/>
        <d v="2026-06-26T00:00:00"/>
        <d v="2026-06-28T00:00:00"/>
        <d v="2026-06-30T00:00:00"/>
        <d v="2026-07-02T00:00:00"/>
        <d v="2026-07-04T00:00:00"/>
        <d v="2026-07-06T00:00:00"/>
        <d v="2026-07-08T00:00:00"/>
        <d v="2026-07-10T00:00:00"/>
        <d v="2026-07-12T00:00:00"/>
        <d v="2026-07-14T00:00:00"/>
        <d v="2026-07-16T00:00:00"/>
        <d v="2026-07-18T00:00:00"/>
        <d v="2026-07-20T00:00:00"/>
        <d v="2026-07-22T00:00:00"/>
        <d v="2026-07-24T00:00:00"/>
        <d v="2026-07-26T00:00:00"/>
        <d v="2026-07-28T00:00:00"/>
        <d v="2026-07-30T00:00:00"/>
        <d v="2026-08-01T00:00:00"/>
        <d v="2026-08-03T00:00:00"/>
        <d v="2026-08-05T00:00:00"/>
        <d v="2026-08-07T00:00:00"/>
        <d v="2026-08-09T00:00:00"/>
        <d v="2026-08-11T00:00:00"/>
        <d v="2026-08-13T00:00:00"/>
        <d v="2026-08-15T00:00:00"/>
        <d v="2026-08-17T00:00:00"/>
        <d v="2026-08-19T00:00:00"/>
        <d v="2026-08-21T00:00:00"/>
        <d v="2026-08-23T00:00:00"/>
        <d v="2026-08-25T00:00:00"/>
        <d v="2026-08-27T00:00:00"/>
        <d v="2026-08-29T00:00:00"/>
        <d v="2026-08-31T00:00:00"/>
        <d v="2026-09-02T00:00:00"/>
        <d v="2026-09-04T00:00:00"/>
        <d v="2026-09-06T00:00:00"/>
        <d v="2026-09-08T00:00:00"/>
        <d v="2026-09-10T00:00:00"/>
        <d v="2026-09-12T00:00:00"/>
        <d v="2026-09-14T00:00:00"/>
        <d v="2026-09-16T00:00:00"/>
      </sharedItems>
      <fieldGroup par="11"/>
    </cacheField>
    <cacheField name="Service Date" numFmtId="14">
      <sharedItems containsSemiMixedTypes="0" containsNonDate="0" containsDate="1" containsString="0" minDate="2026-05-04T00:00:00" maxDate="2026-09-22T00:00:00"/>
    </cacheField>
    <cacheField name="Technician" numFmtId="0">
      <sharedItems count="5">
        <s v="Vikram"/>
        <s v="Nitin"/>
        <s v="Amit"/>
        <s v="Rakesh"/>
        <s v="Suresh"/>
      </sharedItems>
    </cacheField>
    <cacheField name="Service Status" numFmtId="0">
      <sharedItems count="3">
        <s v="Pending"/>
        <s v="In Progress"/>
        <s v="Completed"/>
      </sharedItems>
    </cacheField>
    <cacheField name="Amount" numFmtId="0">
      <sharedItems containsSemiMixedTypes="0" containsString="0" containsNumber="1" containsInteger="1" minValue="1200" maxValue="2500" count="5">
        <n v="2000"/>
        <n v="1800"/>
        <n v="2500"/>
        <n v="1200"/>
        <n v="1500"/>
      </sharedItems>
    </cacheField>
    <cacheField name="Months (Booking Date)" numFmtId="0" databaseField="0">
      <fieldGroup base="6">
        <rangePr groupBy="months" startDate="2026-05-01T00:00:00" endDate="2026-09-17T00:00:00"/>
        <groupItems count="14">
          <s v="&lt;01-05-2026"/>
          <s v="Jan"/>
          <s v="Feb"/>
          <s v="Mar"/>
          <s v="Apr"/>
          <s v="May"/>
          <s v="Jun"/>
          <s v="Jul"/>
          <s v="Aug"/>
          <s v="Sep"/>
          <s v="Oct"/>
          <s v="Nov"/>
          <s v="Dec"/>
          <s v="&gt;17-09-2026"/>
        </groupItems>
      </fieldGroup>
    </cacheField>
  </cacheFields>
  <extLst>
    <ext xmlns:x14="http://schemas.microsoft.com/office/spreadsheetml/2009/9/main" uri="{725AE2AE-9491-48be-B2B4-4EB974FC3084}">
      <x14:pivotCacheDefinition pivotCacheId="2062429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Omkar Deshmukh"/>
    <n v="9736980956"/>
    <x v="0"/>
    <s v="Haier Inverter AC 2T"/>
    <x v="0"/>
    <x v="0"/>
    <d v="2026-05-04T00:00:00"/>
    <x v="0"/>
    <x v="0"/>
    <x v="0"/>
  </r>
  <r>
    <x v="1"/>
    <s v="Ananya Joshi"/>
    <n v="9371831893"/>
    <x v="1"/>
    <s v="Haier Split AC 1.5T"/>
    <x v="1"/>
    <x v="1"/>
    <d v="2026-05-07T00:00:00"/>
    <x v="1"/>
    <x v="1"/>
    <x v="1"/>
  </r>
  <r>
    <x v="2"/>
    <s v="Aarav Kulkarni"/>
    <n v="9808214088"/>
    <x v="0"/>
    <s v="Haier Inverter AC 2T"/>
    <x v="0"/>
    <x v="2"/>
    <d v="2026-05-09T00:00:00"/>
    <x v="2"/>
    <x v="0"/>
    <x v="2"/>
  </r>
  <r>
    <x v="3"/>
    <s v="Aarav Kulkarni"/>
    <n v="9321222261"/>
    <x v="1"/>
    <s v="Haier Split AC 1.5T"/>
    <x v="2"/>
    <x v="3"/>
    <d v="2026-05-10T00:00:00"/>
    <x v="0"/>
    <x v="2"/>
    <x v="3"/>
  </r>
  <r>
    <x v="4"/>
    <s v="Aarav Kulkarni"/>
    <n v="9272474637"/>
    <x v="2"/>
    <s v="Haier Split AC 1T"/>
    <x v="2"/>
    <x v="4"/>
    <d v="2026-05-13T00:00:00"/>
    <x v="0"/>
    <x v="2"/>
    <x v="4"/>
  </r>
  <r>
    <x v="5"/>
    <s v="Omkar Deshmukh"/>
    <n v="9064839608"/>
    <x v="0"/>
    <s v="Haier Split AC 1T"/>
    <x v="1"/>
    <x v="5"/>
    <d v="2026-05-15T00:00:00"/>
    <x v="3"/>
    <x v="1"/>
    <x v="1"/>
  </r>
  <r>
    <x v="6"/>
    <s v="Kavya Patil"/>
    <n v="9768326114"/>
    <x v="3"/>
    <s v="Haier Split AC 1T"/>
    <x v="2"/>
    <x v="6"/>
    <d v="2026-05-16T00:00:00"/>
    <x v="1"/>
    <x v="0"/>
    <x v="4"/>
  </r>
  <r>
    <x v="7"/>
    <s v="Ananya Joshi"/>
    <n v="9377396740"/>
    <x v="4"/>
    <s v="Haier Window AC 1T"/>
    <x v="1"/>
    <x v="7"/>
    <d v="2026-05-19T00:00:00"/>
    <x v="1"/>
    <x v="0"/>
    <x v="2"/>
  </r>
  <r>
    <x v="8"/>
    <s v="Ananya Joshi"/>
    <n v="9119184086"/>
    <x v="3"/>
    <s v="Haier Split AC 1T"/>
    <x v="3"/>
    <x v="8"/>
    <d v="2026-05-22T00:00:00"/>
    <x v="1"/>
    <x v="1"/>
    <x v="4"/>
  </r>
  <r>
    <x v="9"/>
    <s v="Ananya Joshi"/>
    <n v="9619137809"/>
    <x v="3"/>
    <s v="Haier Inverter AC 2T"/>
    <x v="3"/>
    <x v="9"/>
    <d v="2026-05-24T00:00:00"/>
    <x v="0"/>
    <x v="2"/>
    <x v="3"/>
  </r>
  <r>
    <x v="10"/>
    <s v="Priya Sharma"/>
    <n v="9112666623"/>
    <x v="2"/>
    <s v="Haier Inverter AC 2T"/>
    <x v="1"/>
    <x v="10"/>
    <d v="2026-05-25T00:00:00"/>
    <x v="4"/>
    <x v="0"/>
    <x v="2"/>
  </r>
  <r>
    <x v="11"/>
    <s v="Pooja Shinde"/>
    <n v="9465816038"/>
    <x v="2"/>
    <s v="Haier Split AC 1T"/>
    <x v="1"/>
    <x v="11"/>
    <d v="2026-05-27T00:00:00"/>
    <x v="1"/>
    <x v="2"/>
    <x v="1"/>
  </r>
  <r>
    <x v="12"/>
    <s v="Aarav Kulkarni"/>
    <n v="9652665217"/>
    <x v="3"/>
    <s v="Haier Window AC 1T"/>
    <x v="0"/>
    <x v="12"/>
    <d v="2026-05-30T00:00:00"/>
    <x v="1"/>
    <x v="1"/>
    <x v="1"/>
  </r>
  <r>
    <x v="13"/>
    <s v="Kavya Patil"/>
    <n v="9390348253"/>
    <x v="3"/>
    <s v="Haier Inverter AC 2T"/>
    <x v="4"/>
    <x v="13"/>
    <d v="2026-05-31T00:00:00"/>
    <x v="2"/>
    <x v="1"/>
    <x v="1"/>
  </r>
  <r>
    <x v="14"/>
    <s v="Neha More"/>
    <n v="9275509037"/>
    <x v="0"/>
    <s v="Haier Inverter AC 2T"/>
    <x v="0"/>
    <x v="14"/>
    <d v="2026-06-02T00:00:00"/>
    <x v="1"/>
    <x v="0"/>
    <x v="0"/>
  </r>
  <r>
    <x v="15"/>
    <s v="Priya Sharma"/>
    <n v="9476339198"/>
    <x v="2"/>
    <s v="Haier Window AC 1T"/>
    <x v="2"/>
    <x v="15"/>
    <d v="2026-06-05T00:00:00"/>
    <x v="2"/>
    <x v="2"/>
    <x v="1"/>
  </r>
  <r>
    <x v="16"/>
    <s v="Rohan Jadhav"/>
    <n v="9926073412"/>
    <x v="5"/>
    <s v="Haier Inverter AC 2T"/>
    <x v="3"/>
    <x v="16"/>
    <d v="2026-06-06T00:00:00"/>
    <x v="2"/>
    <x v="2"/>
    <x v="1"/>
  </r>
  <r>
    <x v="17"/>
    <s v="Rahul Patil"/>
    <n v="9017654207"/>
    <x v="2"/>
    <s v="Haier Window AC 1T"/>
    <x v="2"/>
    <x v="17"/>
    <d v="2026-06-08T00:00:00"/>
    <x v="3"/>
    <x v="2"/>
    <x v="0"/>
  </r>
  <r>
    <x v="18"/>
    <s v="Sneha Joshi"/>
    <n v="9629461651"/>
    <x v="4"/>
    <s v="Haier Window AC 1T"/>
    <x v="2"/>
    <x v="18"/>
    <d v="2026-06-11T00:00:00"/>
    <x v="1"/>
    <x v="2"/>
    <x v="0"/>
  </r>
  <r>
    <x v="19"/>
    <s v="Aditya Pawar"/>
    <n v="9227105918"/>
    <x v="1"/>
    <s v="Haier Window AC 1T"/>
    <x v="1"/>
    <x v="19"/>
    <d v="2026-06-13T00:00:00"/>
    <x v="0"/>
    <x v="2"/>
    <x v="1"/>
  </r>
  <r>
    <x v="20"/>
    <s v="Sahil Mehta"/>
    <n v="9638174005"/>
    <x v="0"/>
    <s v="Haier Inverter AC 2T"/>
    <x v="0"/>
    <x v="20"/>
    <d v="2026-06-14T00:00:00"/>
    <x v="1"/>
    <x v="1"/>
    <x v="1"/>
  </r>
  <r>
    <x v="21"/>
    <s v="Rahul Patil"/>
    <n v="9625733606"/>
    <x v="2"/>
    <s v="Haier Inverter AC 2T"/>
    <x v="1"/>
    <x v="21"/>
    <d v="2026-06-16T00:00:00"/>
    <x v="2"/>
    <x v="2"/>
    <x v="1"/>
  </r>
  <r>
    <x v="22"/>
    <s v="Sahil Mehta"/>
    <n v="9835186022"/>
    <x v="3"/>
    <s v="Haier Inverter AC 2T"/>
    <x v="3"/>
    <x v="22"/>
    <d v="2026-06-18T00:00:00"/>
    <x v="0"/>
    <x v="0"/>
    <x v="1"/>
  </r>
  <r>
    <x v="23"/>
    <s v="Omkar Deshmukh"/>
    <n v="9212257120"/>
    <x v="4"/>
    <s v="Haier Split AC 1T"/>
    <x v="1"/>
    <x v="23"/>
    <d v="2026-06-21T00:00:00"/>
    <x v="3"/>
    <x v="2"/>
    <x v="4"/>
  </r>
  <r>
    <x v="24"/>
    <s v="Aarav Kulkarni"/>
    <n v="9475357426"/>
    <x v="1"/>
    <s v="Haier Split AC 1.5T"/>
    <x v="0"/>
    <x v="24"/>
    <d v="2026-06-23T00:00:00"/>
    <x v="2"/>
    <x v="1"/>
    <x v="1"/>
  </r>
  <r>
    <x v="25"/>
    <s v="Rahul Patil"/>
    <n v="9106918347"/>
    <x v="2"/>
    <s v="Haier Split AC 1T"/>
    <x v="0"/>
    <x v="25"/>
    <d v="2026-06-24T00:00:00"/>
    <x v="4"/>
    <x v="1"/>
    <x v="3"/>
  </r>
  <r>
    <x v="26"/>
    <s v="Neha More"/>
    <n v="9921679852"/>
    <x v="2"/>
    <s v="Haier Window AC 1T"/>
    <x v="2"/>
    <x v="26"/>
    <d v="2026-06-27T00:00:00"/>
    <x v="0"/>
    <x v="2"/>
    <x v="0"/>
  </r>
  <r>
    <x v="27"/>
    <s v="Priya Sharma"/>
    <n v="9868032086"/>
    <x v="5"/>
    <s v="Haier Split AC 1.5T"/>
    <x v="0"/>
    <x v="27"/>
    <d v="2026-06-29T00:00:00"/>
    <x v="3"/>
    <x v="2"/>
    <x v="4"/>
  </r>
  <r>
    <x v="28"/>
    <s v="Kavya Patil"/>
    <n v="9861841476"/>
    <x v="4"/>
    <s v="Haier Inverter AC 2T"/>
    <x v="1"/>
    <x v="28"/>
    <d v="2026-06-30T00:00:00"/>
    <x v="4"/>
    <x v="0"/>
    <x v="4"/>
  </r>
  <r>
    <x v="29"/>
    <s v="Aditya Pawar"/>
    <n v="9920500737"/>
    <x v="3"/>
    <s v="Haier Split AC 1T"/>
    <x v="3"/>
    <x v="29"/>
    <d v="2026-07-03T00:00:00"/>
    <x v="3"/>
    <x v="2"/>
    <x v="2"/>
  </r>
  <r>
    <x v="30"/>
    <s v="Sahil Mehta"/>
    <n v="9736489458"/>
    <x v="1"/>
    <s v="Haier Split AC 1.5T"/>
    <x v="3"/>
    <x v="30"/>
    <d v="2026-07-05T00:00:00"/>
    <x v="1"/>
    <x v="0"/>
    <x v="0"/>
  </r>
  <r>
    <x v="31"/>
    <s v="Aditya Pawar"/>
    <n v="9366218471"/>
    <x v="3"/>
    <s v="Haier Split AC 1T"/>
    <x v="3"/>
    <x v="31"/>
    <d v="2026-07-06T00:00:00"/>
    <x v="4"/>
    <x v="2"/>
    <x v="3"/>
  </r>
  <r>
    <x v="32"/>
    <s v="Aarav Kulkarni"/>
    <n v="9527626562"/>
    <x v="0"/>
    <s v="Haier Split AC 1.5T"/>
    <x v="1"/>
    <x v="32"/>
    <d v="2026-07-08T00:00:00"/>
    <x v="4"/>
    <x v="0"/>
    <x v="1"/>
  </r>
  <r>
    <x v="33"/>
    <s v="Priya Sharma"/>
    <n v="9932583046"/>
    <x v="3"/>
    <s v="Haier Window AC 1T"/>
    <x v="4"/>
    <x v="33"/>
    <d v="2026-07-10T00:00:00"/>
    <x v="4"/>
    <x v="2"/>
    <x v="3"/>
  </r>
  <r>
    <x v="34"/>
    <s v="Aarav Kulkarni"/>
    <n v="9360697583"/>
    <x v="2"/>
    <s v="Haier Window AC 1T"/>
    <x v="3"/>
    <x v="34"/>
    <d v="2026-07-13T00:00:00"/>
    <x v="0"/>
    <x v="0"/>
    <x v="1"/>
  </r>
  <r>
    <x v="35"/>
    <s v="Neha More"/>
    <n v="9238308743"/>
    <x v="4"/>
    <s v="Haier Split AC 1.5T"/>
    <x v="2"/>
    <x v="35"/>
    <d v="2026-07-15T00:00:00"/>
    <x v="4"/>
    <x v="1"/>
    <x v="0"/>
  </r>
  <r>
    <x v="36"/>
    <s v="Pooja Shinde"/>
    <n v="9755025884"/>
    <x v="5"/>
    <s v="Haier Split AC 1.5T"/>
    <x v="4"/>
    <x v="36"/>
    <d v="2026-07-17T00:00:00"/>
    <x v="1"/>
    <x v="2"/>
    <x v="1"/>
  </r>
  <r>
    <x v="37"/>
    <s v="Sahil Mehta"/>
    <n v="9283263588"/>
    <x v="3"/>
    <s v="Haier Inverter AC 2T"/>
    <x v="4"/>
    <x v="37"/>
    <d v="2026-07-18T00:00:00"/>
    <x v="1"/>
    <x v="1"/>
    <x v="0"/>
  </r>
  <r>
    <x v="38"/>
    <s v="Neha More"/>
    <n v="9824936755"/>
    <x v="4"/>
    <s v="Haier Split AC 1T"/>
    <x v="2"/>
    <x v="38"/>
    <d v="2026-07-20T00:00:00"/>
    <x v="1"/>
    <x v="2"/>
    <x v="4"/>
  </r>
  <r>
    <x v="39"/>
    <s v="Aarav Kulkarni"/>
    <n v="9210639184"/>
    <x v="0"/>
    <s v="Haier Inverter AC 2T"/>
    <x v="1"/>
    <x v="39"/>
    <d v="2026-07-23T00:00:00"/>
    <x v="2"/>
    <x v="1"/>
    <x v="4"/>
  </r>
  <r>
    <x v="40"/>
    <s v="Sneha Joshi"/>
    <n v="9400250461"/>
    <x v="5"/>
    <s v="Haier Split AC 1.5T"/>
    <x v="1"/>
    <x v="40"/>
    <d v="2026-07-24T00:00:00"/>
    <x v="1"/>
    <x v="2"/>
    <x v="2"/>
  </r>
  <r>
    <x v="41"/>
    <s v="Omkar Deshmukh"/>
    <n v="9320663424"/>
    <x v="3"/>
    <s v="Haier Inverter AC 2T"/>
    <x v="3"/>
    <x v="41"/>
    <d v="2026-07-27T00:00:00"/>
    <x v="2"/>
    <x v="1"/>
    <x v="1"/>
  </r>
  <r>
    <x v="42"/>
    <s v="Ananya Joshi"/>
    <n v="9399034891"/>
    <x v="5"/>
    <s v="Haier Split AC 1.5T"/>
    <x v="0"/>
    <x v="42"/>
    <d v="2026-07-28T00:00:00"/>
    <x v="2"/>
    <x v="1"/>
    <x v="4"/>
  </r>
  <r>
    <x v="43"/>
    <s v="Kavya Patil"/>
    <n v="9118563881"/>
    <x v="1"/>
    <s v="Haier Split AC 1.5T"/>
    <x v="2"/>
    <x v="43"/>
    <d v="2026-07-31T00:00:00"/>
    <x v="1"/>
    <x v="2"/>
    <x v="2"/>
  </r>
  <r>
    <x v="44"/>
    <s v="Ananya Joshi"/>
    <n v="9365919720"/>
    <x v="2"/>
    <s v="Haier Window AC 1T"/>
    <x v="1"/>
    <x v="44"/>
    <d v="2026-08-02T00:00:00"/>
    <x v="3"/>
    <x v="1"/>
    <x v="0"/>
  </r>
  <r>
    <x v="45"/>
    <s v="Aditya Pawar"/>
    <n v="9346381758"/>
    <x v="5"/>
    <s v="Haier Inverter AC 2T"/>
    <x v="2"/>
    <x v="45"/>
    <d v="2026-08-04T00:00:00"/>
    <x v="4"/>
    <x v="2"/>
    <x v="4"/>
  </r>
  <r>
    <x v="46"/>
    <s v="Omkar Deshmukh"/>
    <n v="9392859449"/>
    <x v="3"/>
    <s v="Haier Split AC 1.5T"/>
    <x v="4"/>
    <x v="46"/>
    <d v="2026-08-05T00:00:00"/>
    <x v="0"/>
    <x v="1"/>
    <x v="4"/>
  </r>
  <r>
    <x v="47"/>
    <s v="Rohan Jadhav"/>
    <n v="9979725420"/>
    <x v="3"/>
    <s v="Haier Inverter AC 2T"/>
    <x v="4"/>
    <x v="47"/>
    <d v="2026-08-08T00:00:00"/>
    <x v="1"/>
    <x v="0"/>
    <x v="1"/>
  </r>
  <r>
    <x v="48"/>
    <s v="Neha More"/>
    <n v="9440002721"/>
    <x v="2"/>
    <s v="Haier Window AC 1T"/>
    <x v="3"/>
    <x v="48"/>
    <d v="2026-08-09T00:00:00"/>
    <x v="2"/>
    <x v="0"/>
    <x v="4"/>
  </r>
  <r>
    <x v="49"/>
    <s v="Pooja Shinde"/>
    <n v="9709322735"/>
    <x v="2"/>
    <s v="Haier Split AC 1T"/>
    <x v="2"/>
    <x v="49"/>
    <d v="2026-08-12T00:00:00"/>
    <x v="3"/>
    <x v="2"/>
    <x v="4"/>
  </r>
  <r>
    <x v="50"/>
    <s v="Sneha Joshi"/>
    <n v="9192143894"/>
    <x v="0"/>
    <s v="Haier Window AC 1T"/>
    <x v="4"/>
    <x v="50"/>
    <d v="2026-08-14T00:00:00"/>
    <x v="4"/>
    <x v="0"/>
    <x v="1"/>
  </r>
  <r>
    <x v="51"/>
    <s v="Sneha Joshi"/>
    <n v="9851282522"/>
    <x v="5"/>
    <s v="Haier Inverter AC 2T"/>
    <x v="3"/>
    <x v="51"/>
    <d v="2026-08-15T00:00:00"/>
    <x v="2"/>
    <x v="2"/>
    <x v="4"/>
  </r>
  <r>
    <x v="52"/>
    <s v="Rahul Patil"/>
    <n v="9113712394"/>
    <x v="5"/>
    <s v="Haier Split AC 1T"/>
    <x v="1"/>
    <x v="52"/>
    <d v="2026-08-18T00:00:00"/>
    <x v="3"/>
    <x v="0"/>
    <x v="2"/>
  </r>
  <r>
    <x v="53"/>
    <s v="Aarav Kulkarni"/>
    <n v="9529669170"/>
    <x v="5"/>
    <s v="Haier Window AC 1T"/>
    <x v="4"/>
    <x v="53"/>
    <d v="2026-08-20T00:00:00"/>
    <x v="1"/>
    <x v="2"/>
    <x v="2"/>
  </r>
  <r>
    <x v="54"/>
    <s v="Ananya Joshi"/>
    <n v="9809689415"/>
    <x v="4"/>
    <s v="Haier Inverter AC 2T"/>
    <x v="3"/>
    <x v="54"/>
    <d v="2026-08-22T00:00:00"/>
    <x v="1"/>
    <x v="2"/>
    <x v="1"/>
  </r>
  <r>
    <x v="55"/>
    <s v="Pooja Shinde"/>
    <n v="9842224253"/>
    <x v="4"/>
    <s v="Haier Inverter AC 2T"/>
    <x v="2"/>
    <x v="55"/>
    <d v="2026-08-24T00:00:00"/>
    <x v="2"/>
    <x v="1"/>
    <x v="4"/>
  </r>
  <r>
    <x v="56"/>
    <s v="Sneha Joshi"/>
    <n v="9932801049"/>
    <x v="3"/>
    <s v="Haier Window AC 1T"/>
    <x v="2"/>
    <x v="56"/>
    <d v="2026-08-26T00:00:00"/>
    <x v="2"/>
    <x v="1"/>
    <x v="2"/>
  </r>
  <r>
    <x v="57"/>
    <s v="Kavya Patil"/>
    <n v="9885894538"/>
    <x v="0"/>
    <s v="Haier Split AC 1.5T"/>
    <x v="1"/>
    <x v="57"/>
    <d v="2026-08-28T00:00:00"/>
    <x v="3"/>
    <x v="1"/>
    <x v="4"/>
  </r>
  <r>
    <x v="58"/>
    <s v="Neha More"/>
    <n v="9164561537"/>
    <x v="4"/>
    <s v="Haier Split AC 1T"/>
    <x v="0"/>
    <x v="58"/>
    <d v="2026-08-30T00:00:00"/>
    <x v="3"/>
    <x v="1"/>
    <x v="2"/>
  </r>
  <r>
    <x v="59"/>
    <s v="Pooja Shinde"/>
    <n v="9326901180"/>
    <x v="0"/>
    <s v="Haier Split AC 1T"/>
    <x v="4"/>
    <x v="59"/>
    <d v="2026-09-01T00:00:00"/>
    <x v="0"/>
    <x v="1"/>
    <x v="0"/>
  </r>
  <r>
    <x v="60"/>
    <s v="Rahul Patil"/>
    <n v="9691211281"/>
    <x v="4"/>
    <s v="Haier Inverter AC 2T"/>
    <x v="1"/>
    <x v="60"/>
    <d v="2026-09-03T00:00:00"/>
    <x v="2"/>
    <x v="1"/>
    <x v="0"/>
  </r>
  <r>
    <x v="61"/>
    <s v="Ananya Joshi"/>
    <n v="9782136062"/>
    <x v="0"/>
    <s v="Haier Inverter AC 2T"/>
    <x v="4"/>
    <x v="61"/>
    <d v="2026-09-05T00:00:00"/>
    <x v="2"/>
    <x v="0"/>
    <x v="3"/>
  </r>
  <r>
    <x v="62"/>
    <s v="Neha More"/>
    <n v="9848697938"/>
    <x v="3"/>
    <s v="Haier Split AC 1.5T"/>
    <x v="3"/>
    <x v="62"/>
    <d v="2026-09-06T00:00:00"/>
    <x v="2"/>
    <x v="0"/>
    <x v="0"/>
  </r>
  <r>
    <x v="63"/>
    <s v="Omkar Deshmukh"/>
    <n v="9016881874"/>
    <x v="4"/>
    <s v="Haier Inverter AC 2T"/>
    <x v="0"/>
    <x v="63"/>
    <d v="2026-09-09T00:00:00"/>
    <x v="2"/>
    <x v="1"/>
    <x v="4"/>
  </r>
  <r>
    <x v="64"/>
    <s v="Aarav Kulkarni"/>
    <n v="9463070874"/>
    <x v="3"/>
    <s v="Haier Inverter AC 2T"/>
    <x v="2"/>
    <x v="64"/>
    <d v="2026-09-10T00:00:00"/>
    <x v="4"/>
    <x v="0"/>
    <x v="4"/>
  </r>
  <r>
    <x v="65"/>
    <s v="Pooja Shinde"/>
    <n v="9757580988"/>
    <x v="2"/>
    <s v="Haier Window AC 1T"/>
    <x v="4"/>
    <x v="65"/>
    <d v="2026-09-13T00:00:00"/>
    <x v="1"/>
    <x v="1"/>
    <x v="4"/>
  </r>
  <r>
    <x v="66"/>
    <s v="Aarav Kulkarni"/>
    <n v="9434257328"/>
    <x v="0"/>
    <s v="Haier Split AC 1T"/>
    <x v="3"/>
    <x v="66"/>
    <d v="2026-09-15T00:00:00"/>
    <x v="3"/>
    <x v="2"/>
    <x v="0"/>
  </r>
  <r>
    <x v="67"/>
    <s v="Priya Sharma"/>
    <n v="9025824639"/>
    <x v="5"/>
    <s v="Haier Split AC 1.5T"/>
    <x v="2"/>
    <x v="67"/>
    <d v="2026-09-17T00:00:00"/>
    <x v="2"/>
    <x v="0"/>
    <x v="2"/>
  </r>
  <r>
    <x v="68"/>
    <s v="Kavya Patil"/>
    <n v="9784216627"/>
    <x v="5"/>
    <s v="Haier Inverter AC 2T"/>
    <x v="1"/>
    <x v="68"/>
    <d v="2026-09-18T00:00:00"/>
    <x v="0"/>
    <x v="2"/>
    <x v="3"/>
  </r>
  <r>
    <x v="69"/>
    <s v="Aditya Pawar"/>
    <n v="9482192476"/>
    <x v="0"/>
    <s v="Haier Inverter AC 2T"/>
    <x v="0"/>
    <x v="69"/>
    <d v="2026-09-21T00:00:00"/>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6AB219-6A47-48E3-84A4-D105B2828C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2">
    <pivotField showAll="0"/>
    <pivotField showAll="0"/>
    <pivotField showAll="0"/>
    <pivotField showAll="0">
      <items count="7">
        <item x="1"/>
        <item x="4"/>
        <item x="0"/>
        <item x="3"/>
        <item x="2"/>
        <item x="5"/>
        <item t="default"/>
      </items>
    </pivotField>
    <pivotField showAll="0"/>
    <pivotField axis="axisRow"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items count="6">
        <item x="2"/>
        <item x="1"/>
        <item x="3"/>
        <item x="4"/>
        <item x="0"/>
        <item t="default"/>
      </items>
    </pivotField>
    <pivotField showAll="0">
      <items count="4">
        <item x="2"/>
        <item x="1"/>
        <item x="0"/>
        <item t="default"/>
      </items>
    </pivotField>
    <pivotField dataField="1" showAll="0">
      <items count="6">
        <item h="1" x="3"/>
        <item x="4"/>
        <item h="1" x="1"/>
        <item x="0"/>
        <item x="2"/>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Amount" fld="10"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4"/>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0EA956-D802-48B7-806E-730F1EBE86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rowHeaderCaption="City">
  <location ref="A3:B10" firstHeaderRow="1" firstDataRow="1" firstDataCol="1"/>
  <pivotFields count="12">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axis="axisRow" showAll="0">
      <items count="7">
        <item x="1"/>
        <item x="4"/>
        <item x="0"/>
        <item x="3"/>
        <item x="2"/>
        <item x="5"/>
        <item t="default"/>
      </items>
    </pivotField>
    <pivotField showAll="0"/>
    <pivotField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items count="6">
        <item x="2"/>
        <item x="1"/>
        <item x="3"/>
        <item x="4"/>
        <item x="0"/>
        <item t="default"/>
      </items>
    </pivotField>
    <pivotField showAll="0">
      <items count="4">
        <item x="2"/>
        <item x="1"/>
        <item x="0"/>
        <item t="default"/>
      </items>
    </pivotField>
    <pivotField showAll="0">
      <items count="6">
        <item h="1" x="3"/>
        <item x="4"/>
        <item h="1" x="1"/>
        <item x="0"/>
        <item x="2"/>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Count of Service ID" fld="0" subtotal="count" baseField="0" baseItem="0"/>
  </dataFields>
  <chartFormats count="4">
    <chartFormat chart="18" format="1" series="1">
      <pivotArea type="data" outline="0" fieldPosition="0">
        <references count="1">
          <reference field="4294967294" count="1" selected="0">
            <x v="0"/>
          </reference>
        </references>
      </pivotArea>
    </chartFormat>
    <chartFormat chart="59" format="3"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 chart="6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D452B-749C-4E0E-B795-1BC6EBF58E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Service Status ">
  <location ref="A3:B7" firstHeaderRow="1" firstDataRow="1" firstDataCol="1"/>
  <pivotFields count="12">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items count="7">
        <item x="1"/>
        <item x="4"/>
        <item x="0"/>
        <item x="3"/>
        <item x="2"/>
        <item x="5"/>
        <item t="default"/>
      </items>
    </pivotField>
    <pivotField showAll="0"/>
    <pivotField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items count="6">
        <item x="2"/>
        <item x="1"/>
        <item x="3"/>
        <item x="4"/>
        <item x="0"/>
        <item t="default"/>
      </items>
    </pivotField>
    <pivotField axis="axisRow" showAll="0">
      <items count="4">
        <item x="2"/>
        <item x="1"/>
        <item x="0"/>
        <item t="default"/>
      </items>
    </pivotField>
    <pivotField showAll="0">
      <items count="6">
        <item h="1" x="3"/>
        <item x="4"/>
        <item h="1" x="1"/>
        <item x="0"/>
        <item x="2"/>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Service ID" fld="0" subtotal="count" baseField="0" baseItem="0"/>
  </dataFields>
  <chartFormats count="14">
    <chartFormat chart="4"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8" format="2">
      <pivotArea type="data" outline="0" fieldPosition="0">
        <references count="2">
          <reference field="4294967294" count="1" selected="0">
            <x v="0"/>
          </reference>
          <reference field="9" count="1" selected="0">
            <x v="0"/>
          </reference>
        </references>
      </pivotArea>
    </chartFormat>
    <chartFormat chart="28" format="3">
      <pivotArea type="data" outline="0" fieldPosition="0">
        <references count="2">
          <reference field="4294967294" count="1" selected="0">
            <x v="0"/>
          </reference>
          <reference field="9" count="1" selected="0">
            <x v="1"/>
          </reference>
        </references>
      </pivotArea>
    </chartFormat>
    <chartFormat chart="28" format="4">
      <pivotArea type="data" outline="0" fieldPosition="0">
        <references count="2">
          <reference field="4294967294" count="1" selected="0">
            <x v="0"/>
          </reference>
          <reference field="9" count="1" selected="0">
            <x v="2"/>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9" count="1" selected="0">
            <x v="0"/>
          </reference>
        </references>
      </pivotArea>
    </chartFormat>
    <chartFormat chart="29" format="7">
      <pivotArea type="data" outline="0" fieldPosition="0">
        <references count="2">
          <reference field="4294967294" count="1" selected="0">
            <x v="0"/>
          </reference>
          <reference field="9" count="1" selected="0">
            <x v="1"/>
          </reference>
        </references>
      </pivotArea>
    </chartFormat>
    <chartFormat chart="29" format="8">
      <pivotArea type="data" outline="0" fieldPosition="0">
        <references count="2">
          <reference field="4294967294" count="1" selected="0">
            <x v="0"/>
          </reference>
          <reference field="9" count="1" selected="0">
            <x v="2"/>
          </reference>
        </references>
      </pivotArea>
    </chartFormat>
    <chartFormat chart="30" format="5" series="1">
      <pivotArea type="data" outline="0" fieldPosition="0">
        <references count="1">
          <reference field="4294967294" count="1" selected="0">
            <x v="0"/>
          </reference>
        </references>
      </pivotArea>
    </chartFormat>
    <chartFormat chart="30" format="6">
      <pivotArea type="data" outline="0" fieldPosition="0">
        <references count="2">
          <reference field="4294967294" count="1" selected="0">
            <x v="0"/>
          </reference>
          <reference field="9" count="1" selected="0">
            <x v="0"/>
          </reference>
        </references>
      </pivotArea>
    </chartFormat>
    <chartFormat chart="30" format="7">
      <pivotArea type="data" outline="0" fieldPosition="0">
        <references count="2">
          <reference field="4294967294" count="1" selected="0">
            <x v="0"/>
          </reference>
          <reference field="9" count="1" selected="0">
            <x v="1"/>
          </reference>
        </references>
      </pivotArea>
    </chartFormat>
    <chartFormat chart="30" format="8">
      <pivotArea type="data" outline="0" fieldPosition="0">
        <references count="2">
          <reference field="4294967294" count="1" selected="0">
            <x v="0"/>
          </reference>
          <reference field="9" count="1" selected="0">
            <x v="2"/>
          </reference>
        </references>
      </pivotArea>
    </chartFormat>
    <chartFormat chart="4"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605EF8-0E03-41BA-9914-BD18C3EEAF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ervice status">
  <location ref="A3:B7" firstHeaderRow="1" firstDataRow="1" firstDataCol="1"/>
  <pivotFields count="12">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items count="7">
        <item x="1"/>
        <item x="4"/>
        <item x="0"/>
        <item x="3"/>
        <item x="2"/>
        <item x="5"/>
        <item t="default"/>
      </items>
    </pivotField>
    <pivotField showAll="0"/>
    <pivotField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items count="6">
        <item x="2"/>
        <item x="1"/>
        <item x="3"/>
        <item x="4"/>
        <item x="0"/>
        <item t="default"/>
      </items>
    </pivotField>
    <pivotField axis="axisRow" showAll="0">
      <items count="4">
        <item x="2"/>
        <item x="1"/>
        <item x="0"/>
        <item t="default"/>
      </items>
    </pivotField>
    <pivotField showAll="0">
      <items count="6">
        <item h="1" x="3"/>
        <item x="4"/>
        <item h="1" x="1"/>
        <item x="0"/>
        <item x="2"/>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Count of Service ID" fld="0" subtotal="count" baseField="0" baseItem="0"/>
  </dataFields>
  <chartFormats count="5">
    <chartFormat chart="21" format="0" series="1">
      <pivotArea type="data" outline="0" fieldPosition="0">
        <references count="1">
          <reference field="4294967294" count="1" selected="0">
            <x v="0"/>
          </reference>
        </references>
      </pivotArea>
    </chartFormat>
    <chartFormat chart="21" format="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9" count="1" selected="0">
            <x v="0"/>
          </reference>
        </references>
      </pivotArea>
    </chartFormat>
    <chartFormat chart="21" format="3">
      <pivotArea type="data" outline="0" fieldPosition="0">
        <references count="2">
          <reference field="4294967294" count="1" selected="0">
            <x v="0"/>
          </reference>
          <reference field="9" count="1" selected="0">
            <x v="2"/>
          </reference>
        </references>
      </pivotArea>
    </chartFormat>
    <chartFormat chart="21" format="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9C896F-A81B-493F-A1DF-8DC520438D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rowHeaderCaption="City">
  <location ref="A3:B10" firstHeaderRow="1" firstDataRow="1" firstDataCol="1"/>
  <pivotFields count="12">
    <pivotField showAll="0"/>
    <pivotField showAll="0"/>
    <pivotField showAll="0"/>
    <pivotField axis="axisRow" showAll="0">
      <items count="7">
        <item x="1"/>
        <item x="4"/>
        <item x="0"/>
        <item x="3"/>
        <item x="2"/>
        <item x="5"/>
        <item t="default"/>
      </items>
    </pivotField>
    <pivotField showAll="0"/>
    <pivotField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items count="6">
        <item x="2"/>
        <item x="1"/>
        <item x="3"/>
        <item x="4"/>
        <item x="0"/>
        <item t="default"/>
      </items>
    </pivotField>
    <pivotField showAll="0">
      <items count="4">
        <item x="2"/>
        <item x="1"/>
        <item x="0"/>
        <item t="default"/>
      </items>
    </pivotField>
    <pivotField dataField="1" showAll="0">
      <items count="6">
        <item h="1" x="3"/>
        <item x="4"/>
        <item h="1" x="1"/>
        <item x="0"/>
        <item x="2"/>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Amount" fld="10" baseField="0" baseItem="0"/>
  </dataFields>
  <chartFormats count="2">
    <chartFormat chart="0"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D4B4AC-8705-4032-8F18-047B4534FC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Months">
  <location ref="A3:B9" firstHeaderRow="1" firstDataRow="1" firstDataCol="1"/>
  <pivotFields count="12">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items count="7">
        <item x="1"/>
        <item x="4"/>
        <item x="0"/>
        <item x="3"/>
        <item x="2"/>
        <item x="5"/>
        <item t="default"/>
      </items>
    </pivotField>
    <pivotField showAll="0"/>
    <pivotField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items count="6">
        <item x="2"/>
        <item x="1"/>
        <item x="3"/>
        <item x="4"/>
        <item x="0"/>
        <item t="default"/>
      </items>
    </pivotField>
    <pivotField showAll="0">
      <items count="4">
        <item x="2"/>
        <item x="1"/>
        <item x="0"/>
        <item t="default"/>
      </items>
    </pivotField>
    <pivotField showAll="0">
      <items count="6">
        <item h="1" x="3"/>
        <item x="4"/>
        <item h="1" x="1"/>
        <item x="0"/>
        <item x="2"/>
        <item t="default"/>
      </items>
    </pivotField>
    <pivotField axis="axisRow" showAll="0">
      <items count="15">
        <item x="0"/>
        <item x="1"/>
        <item x="2"/>
        <item x="3"/>
        <item x="4"/>
        <item x="5"/>
        <item x="6"/>
        <item x="7"/>
        <item x="8"/>
        <item x="9"/>
        <item x="10"/>
        <item x="11"/>
        <item x="12"/>
        <item x="13"/>
        <item t="default"/>
      </items>
    </pivotField>
  </pivotFields>
  <rowFields count="1">
    <field x="11"/>
  </rowFields>
  <rowItems count="6">
    <i>
      <x v="5"/>
    </i>
    <i>
      <x v="6"/>
    </i>
    <i>
      <x v="7"/>
    </i>
    <i>
      <x v="8"/>
    </i>
    <i>
      <x v="9"/>
    </i>
    <i t="grand">
      <x/>
    </i>
  </rowItems>
  <colItems count="1">
    <i/>
  </colItems>
  <dataFields count="1">
    <dataField name="Count of Service ID" fld="0" subtotal="count" baseField="0" baseItem="0"/>
  </dataFields>
  <chartFormats count="2">
    <chartFormat chart="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E50838-8CA4-4808-8615-03FAF7502BC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Technician Name">
  <location ref="A3:B9" firstHeaderRow="1" firstDataRow="1" firstDataCol="1"/>
  <pivotFields count="12">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items count="7">
        <item x="1"/>
        <item x="4"/>
        <item x="0"/>
        <item x="3"/>
        <item x="2"/>
        <item x="5"/>
        <item t="default"/>
      </items>
    </pivotField>
    <pivotField showAll="0"/>
    <pivotField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axis="axisRow" showAll="0">
      <items count="6">
        <item x="2"/>
        <item x="1"/>
        <item x="3"/>
        <item x="4"/>
        <item x="0"/>
        <item t="default"/>
      </items>
    </pivotField>
    <pivotField showAll="0">
      <items count="4">
        <item x="2"/>
        <item x="1"/>
        <item x="0"/>
        <item t="default"/>
      </items>
    </pivotField>
    <pivotField showAll="0">
      <items count="6">
        <item h="1" x="3"/>
        <item x="4"/>
        <item h="1" x="1"/>
        <item x="0"/>
        <item x="2"/>
        <item t="default"/>
      </items>
    </pivotField>
    <pivotField showAll="0" defaultSubtotal="0">
      <items count="14">
        <item x="0"/>
        <item x="1"/>
        <item x="2"/>
        <item x="3"/>
        <item x="4"/>
        <item x="5"/>
        <item x="6"/>
        <item x="7"/>
        <item x="8"/>
        <item x="9"/>
        <item x="10"/>
        <item x="11"/>
        <item x="12"/>
        <item x="13"/>
      </items>
    </pivotField>
  </pivotFields>
  <rowFields count="1">
    <field x="8"/>
  </rowFields>
  <rowItems count="6">
    <i>
      <x/>
    </i>
    <i>
      <x v="1"/>
    </i>
    <i>
      <x v="2"/>
    </i>
    <i>
      <x v="3"/>
    </i>
    <i>
      <x v="4"/>
    </i>
    <i t="grand">
      <x/>
    </i>
  </rowItems>
  <colItems count="1">
    <i/>
  </colItems>
  <dataFields count="1">
    <dataField name="Count of Service ID" fld="0" subtotal="count" baseField="0" baseItem="0"/>
  </dataFields>
  <chartFormats count="2">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D33D52-291B-4FB2-90AB-BFEA38E7F60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Service Type">
  <location ref="A3:B9" firstHeaderRow="1" firstDataRow="1" firstDataCol="1"/>
  <pivotFields count="12">
    <pivotField dataField="1"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showAll="0">
      <items count="7">
        <item x="1"/>
        <item x="4"/>
        <item x="0"/>
        <item x="3"/>
        <item x="2"/>
        <item x="5"/>
        <item t="default"/>
      </items>
    </pivotField>
    <pivotField showAll="0"/>
    <pivotField axis="axisRow" showAll="0">
      <items count="6">
        <item x="2"/>
        <item x="1"/>
        <item x="4"/>
        <item x="0"/>
        <item x="3"/>
        <item t="default"/>
      </items>
    </pivotField>
    <pivotField numFmtId="14"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umFmtId="14" showAll="0"/>
    <pivotField showAll="0">
      <items count="6">
        <item x="2"/>
        <item x="1"/>
        <item x="3"/>
        <item x="4"/>
        <item x="0"/>
        <item t="default"/>
      </items>
    </pivotField>
    <pivotField showAll="0">
      <items count="4">
        <item x="2"/>
        <item x="1"/>
        <item x="0"/>
        <item t="default"/>
      </items>
    </pivotField>
    <pivotField showAll="0">
      <items count="6">
        <item h="1" x="3"/>
        <item x="4"/>
        <item h="1" x="1"/>
        <item x="0"/>
        <item x="2"/>
        <item t="default"/>
      </items>
    </pivotField>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Items count="1">
    <i/>
  </colItems>
  <dataFields count="1">
    <dataField name="Count of Service ID" fld="0" subtotal="count" baseField="0" baseItem="0"/>
  </dataFields>
  <chartFormats count="2">
    <chartFormat chart="9"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CE218CA4-775C-4C3C-81EE-67CB5CA670F0}" sourceName="Service Type">
  <pivotTables>
    <pivotTable tabId="10" name="PivotTable8"/>
    <pivotTable tabId="4" name="PivotTable2"/>
    <pivotTable tabId="7" name="PivotTable5"/>
    <pivotTable tabId="8" name="PivotTable6"/>
    <pivotTable tabId="6" name="PivotTable4"/>
    <pivotTable tabId="2" name="PivotTable1"/>
    <pivotTable tabId="5" name="PivotTable3"/>
    <pivotTable tabId="9" name="PivotTable7"/>
  </pivotTables>
  <data>
    <tabular pivotCacheId="2062429465">
      <items count="5">
        <i x="2"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B974749-598C-43C6-884E-9197A72343B5}" sourceName="City">
  <pivotTables>
    <pivotTable tabId="10" name="PivotTable8"/>
    <pivotTable tabId="4" name="PivotTable2"/>
    <pivotTable tabId="7" name="PivotTable5"/>
    <pivotTable tabId="8" name="PivotTable6"/>
    <pivotTable tabId="6" name="PivotTable4"/>
    <pivotTable tabId="2" name="PivotTable1"/>
    <pivotTable tabId="5" name="PivotTable3"/>
    <pivotTable tabId="9" name="PivotTable7"/>
  </pivotTables>
  <data>
    <tabular pivotCacheId="2062429465">
      <items count="6">
        <i x="1" s="1"/>
        <i x="4" s="1"/>
        <i x="0"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nician" xr10:uid="{A205D30B-7CC9-4CA4-9318-4178BCDE086D}" sourceName="Technician">
  <pivotTables>
    <pivotTable tabId="10" name="PivotTable8"/>
    <pivotTable tabId="4" name="PivotTable2"/>
    <pivotTable tabId="7" name="PivotTable5"/>
    <pivotTable tabId="8" name="PivotTable6"/>
    <pivotTable tabId="6" name="PivotTable4"/>
    <pivotTable tabId="2" name="PivotTable1"/>
    <pivotTable tabId="5" name="PivotTable3"/>
    <pivotTable tabId="9" name="PivotTable7"/>
  </pivotTables>
  <data>
    <tabular pivotCacheId="2062429465">
      <items count="5">
        <i x="2" s="1"/>
        <i x="1" s="1"/>
        <i x="3"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Status" xr10:uid="{CF849FD2-9802-4509-AF2E-BF373E31587D}" sourceName="Service Status">
  <pivotTables>
    <pivotTable tabId="10" name="PivotTable8"/>
    <pivotTable tabId="4" name="PivotTable2"/>
    <pivotTable tabId="7" name="PivotTable5"/>
    <pivotTable tabId="8" name="PivotTable6"/>
    <pivotTable tabId="6" name="PivotTable4"/>
    <pivotTable tabId="2" name="PivotTable1"/>
    <pivotTable tabId="5" name="PivotTable3"/>
    <pivotTable tabId="9" name="PivotTable7"/>
  </pivotTables>
  <data>
    <tabular pivotCacheId="2062429465">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Booking_Date" xr10:uid="{5EB664BB-68A7-4DCD-9079-51E5F582ACBC}" sourceName="Months (Booking Date)">
  <pivotTables>
    <pivotTable tabId="10" name="PivotTable8"/>
    <pivotTable tabId="4" name="PivotTable2"/>
    <pivotTable tabId="7" name="PivotTable5"/>
    <pivotTable tabId="8" name="PivotTable6"/>
    <pivotTable tabId="6" name="PivotTable4"/>
    <pivotTable tabId="2" name="PivotTable1"/>
    <pivotTable tabId="5" name="PivotTable3"/>
    <pivotTable tabId="9" name="PivotTable7"/>
  </pivotTables>
  <data>
    <tabular pivotCacheId="2062429465">
      <items count="14">
        <i x="5" s="1"/>
        <i x="6" s="1"/>
        <i x="7" s="1"/>
        <i x="8" s="1"/>
        <i x="9" s="1"/>
        <i x="1" s="1" nd="1"/>
        <i x="2" s="1" nd="1"/>
        <i x="3" s="1" nd="1"/>
        <i x="4"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Type" xr10:uid="{6C7C4A97-A79E-46ED-A602-AEEE8BD31722}" cache="Slicer_Service_Type" caption="Service Type" startItem="1" rowHeight="323850"/>
  <slicer name="City" xr10:uid="{1BF5F208-2D42-4C26-9019-0E7775FD6807}" cache="Slicer_City" caption="City" rowHeight="323850"/>
  <slicer name="Technician" xr10:uid="{73E05CD8-0A25-4027-891F-AB02EE926B40}" cache="Slicer_Technician" caption="Technician" rowHeight="323850"/>
  <slicer name="Service Status" xr10:uid="{E9764443-41E0-4B69-A84B-C5C5158933AF}" cache="Slicer_Service_Status" caption="Service Status" rowHeight="323850"/>
  <slicer name="Months (Booking Date)" xr10:uid="{799C568C-4BE6-4872-9A67-A728E429AF5B}" cache="Slicer_Months__Booking_Date" caption="Months (Booking Date)" rowHeight="3238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789C67-A6EA-458C-BDA8-8D4C836AA0F0}" name="Table1" displayName="Table1" ref="A3:K73" totalsRowShown="0" headerRowDxfId="10" dataDxfId="9">
  <autoFilter ref="A3:K73" xr:uid="{B7789C67-A6EA-458C-BDA8-8D4C836AA0F0}"/>
  <tableColumns count="11">
    <tableColumn id="1" xr3:uid="{9F336E8D-DAA9-4CAC-91B4-5719133F8F6B}" name="Service ID" dataDxfId="8"/>
    <tableColumn id="2" xr3:uid="{D01E9F9D-B673-4ABA-AD9D-3FF6EEE7F63B}" name="Customer Name" dataDxfId="7"/>
    <tableColumn id="3" xr3:uid="{D5911075-125C-4400-9004-7FD356FA9539}" name="Contact No" dataDxfId="6"/>
    <tableColumn id="4" xr3:uid="{B18AC0D7-F2FA-456A-8FBC-64FF78E4C73E}" name="City" dataDxfId="5"/>
    <tableColumn id="5" xr3:uid="{86793E05-DC93-4D4A-B817-A287DCD4C06E}" name="AC Model" dataDxfId="4"/>
    <tableColumn id="6" xr3:uid="{1A0A2C1C-CA6A-47D9-9A40-5563CE4D3CD7}" name="Service Type" dataDxfId="3"/>
    <tableColumn id="7" xr3:uid="{7CAD7697-DA97-4502-926C-6FFB493C6F72}" name="Booking Date"/>
    <tableColumn id="8" xr3:uid="{48A31F38-51CC-443B-96BE-1ED79E4D04FF}" name="Service Date"/>
    <tableColumn id="9" xr3:uid="{A08B1307-DE1D-4859-8146-DBC690C63691}" name="Technician" dataDxfId="2"/>
    <tableColumn id="10" xr3:uid="{BB835D52-D6F0-4073-9D02-D7BD10B1CB2D}" name="Service Status" dataDxfId="1"/>
    <tableColumn id="11" xr3:uid="{2EE08940-9F6F-4F86-9907-C4405F521584}" name="Amount"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5398D-4406-443A-B1DD-462B01CCD4BF}">
  <dimension ref="A1:N80"/>
  <sheetViews>
    <sheetView topLeftCell="A74" workbookViewId="0">
      <selection activeCell="B77" sqref="B77"/>
    </sheetView>
  </sheetViews>
  <sheetFormatPr defaultRowHeight="24" x14ac:dyDescent="0.8"/>
  <cols>
    <col min="1" max="1" width="20.296875" bestFit="1" customWidth="1"/>
    <col min="2" max="2" width="17.296875" customWidth="1"/>
    <col min="3" max="3" width="14" customWidth="1"/>
    <col min="4" max="4" width="10.69921875" bestFit="1" customWidth="1"/>
    <col min="5" max="5" width="19.19921875" bestFit="1" customWidth="1"/>
    <col min="6" max="6" width="14.59765625" customWidth="1"/>
    <col min="7" max="7" width="14.8984375" customWidth="1"/>
    <col min="8" max="8" width="14.3984375" customWidth="1"/>
    <col min="9" max="9" width="12.296875" customWidth="1"/>
    <col min="10" max="10" width="15.8984375" customWidth="1"/>
    <col min="11" max="11" width="11.796875" customWidth="1"/>
    <col min="14" max="14" width="80.19921875" bestFit="1" customWidth="1"/>
  </cols>
  <sheetData>
    <row r="1" spans="1:14" ht="34.799999999999997" customHeight="1" thickBot="1" x14ac:dyDescent="0.85">
      <c r="A1" s="15" t="s">
        <v>116</v>
      </c>
      <c r="B1" s="16"/>
      <c r="C1" s="16"/>
      <c r="D1" s="16"/>
      <c r="E1" s="16"/>
      <c r="F1" s="16"/>
      <c r="G1" s="16"/>
      <c r="H1" s="16"/>
      <c r="I1" s="16"/>
      <c r="J1" s="16"/>
      <c r="K1" s="17"/>
    </row>
    <row r="2" spans="1:14" x14ac:dyDescent="0.8">
      <c r="N2" s="6" t="s">
        <v>122</v>
      </c>
    </row>
    <row r="3" spans="1:14" x14ac:dyDescent="0.8">
      <c r="A3" s="1" t="s">
        <v>0</v>
      </c>
      <c r="B3" s="1" t="s">
        <v>1</v>
      </c>
      <c r="C3" s="1" t="s">
        <v>2</v>
      </c>
      <c r="D3" s="1" t="s">
        <v>3</v>
      </c>
      <c r="E3" s="1" t="s">
        <v>4</v>
      </c>
      <c r="F3" s="1" t="s">
        <v>5</v>
      </c>
      <c r="G3" s="4" t="s">
        <v>6</v>
      </c>
      <c r="H3" s="4" t="s">
        <v>7</v>
      </c>
      <c r="I3" s="1" t="s">
        <v>8</v>
      </c>
      <c r="J3" s="1" t="s">
        <v>9</v>
      </c>
      <c r="K3" s="1" t="s">
        <v>10</v>
      </c>
      <c r="N3" s="7" t="s">
        <v>117</v>
      </c>
    </row>
    <row r="4" spans="1:14" x14ac:dyDescent="0.8">
      <c r="A4" s="2" t="s">
        <v>11</v>
      </c>
      <c r="B4" s="2" t="s">
        <v>12</v>
      </c>
      <c r="C4" s="2">
        <v>9736980956</v>
      </c>
      <c r="D4" s="2" t="s">
        <v>13</v>
      </c>
      <c r="E4" s="2" t="s">
        <v>14</v>
      </c>
      <c r="F4" s="2" t="s">
        <v>15</v>
      </c>
      <c r="G4" s="3">
        <v>46143</v>
      </c>
      <c r="H4" s="3">
        <v>46146</v>
      </c>
      <c r="I4" s="2" t="s">
        <v>16</v>
      </c>
      <c r="J4" s="2" t="s">
        <v>17</v>
      </c>
      <c r="K4" s="2">
        <v>2000</v>
      </c>
      <c r="N4" s="7" t="s">
        <v>118</v>
      </c>
    </row>
    <row r="5" spans="1:14" x14ac:dyDescent="0.8">
      <c r="A5" s="2" t="s">
        <v>18</v>
      </c>
      <c r="B5" s="2" t="s">
        <v>19</v>
      </c>
      <c r="C5" s="2">
        <v>9371831893</v>
      </c>
      <c r="D5" s="2" t="s">
        <v>20</v>
      </c>
      <c r="E5" s="2" t="s">
        <v>21</v>
      </c>
      <c r="F5" s="2" t="s">
        <v>22</v>
      </c>
      <c r="G5" s="3">
        <v>46145</v>
      </c>
      <c r="H5" s="3">
        <v>46149</v>
      </c>
      <c r="I5" s="2" t="s">
        <v>23</v>
      </c>
      <c r="J5" s="2" t="s">
        <v>24</v>
      </c>
      <c r="K5" s="2">
        <v>1800</v>
      </c>
      <c r="N5" s="7" t="s">
        <v>119</v>
      </c>
    </row>
    <row r="6" spans="1:14" x14ac:dyDescent="0.8">
      <c r="A6" s="2" t="s">
        <v>25</v>
      </c>
      <c r="B6" s="2" t="s">
        <v>26</v>
      </c>
      <c r="C6" s="2">
        <v>9808214088</v>
      </c>
      <c r="D6" s="2" t="s">
        <v>13</v>
      </c>
      <c r="E6" s="2" t="s">
        <v>14</v>
      </c>
      <c r="F6" s="2" t="s">
        <v>15</v>
      </c>
      <c r="G6" s="3">
        <v>46147</v>
      </c>
      <c r="H6" s="3">
        <v>46151</v>
      </c>
      <c r="I6" s="2" t="s">
        <v>27</v>
      </c>
      <c r="J6" s="2" t="s">
        <v>17</v>
      </c>
      <c r="K6" s="2">
        <v>2500</v>
      </c>
      <c r="N6" s="7" t="s">
        <v>120</v>
      </c>
    </row>
    <row r="7" spans="1:14" x14ac:dyDescent="0.8">
      <c r="A7" s="2" t="s">
        <v>28</v>
      </c>
      <c r="B7" s="2" t="s">
        <v>26</v>
      </c>
      <c r="C7" s="2">
        <v>9321222261</v>
      </c>
      <c r="D7" s="2" t="s">
        <v>20</v>
      </c>
      <c r="E7" s="2" t="s">
        <v>21</v>
      </c>
      <c r="F7" s="2" t="s">
        <v>29</v>
      </c>
      <c r="G7" s="3">
        <v>46149</v>
      </c>
      <c r="H7" s="3">
        <v>46152</v>
      </c>
      <c r="I7" s="2" t="s">
        <v>16</v>
      </c>
      <c r="J7" s="2" t="s">
        <v>30</v>
      </c>
      <c r="K7" s="2">
        <v>1200</v>
      </c>
      <c r="N7" s="7" t="s">
        <v>121</v>
      </c>
    </row>
    <row r="8" spans="1:14" x14ac:dyDescent="0.8">
      <c r="A8" s="2" t="s">
        <v>31</v>
      </c>
      <c r="B8" s="2" t="s">
        <v>26</v>
      </c>
      <c r="C8" s="2">
        <v>9272474637</v>
      </c>
      <c r="D8" s="2" t="s">
        <v>32</v>
      </c>
      <c r="E8" s="2" t="s">
        <v>33</v>
      </c>
      <c r="F8" s="2" t="s">
        <v>29</v>
      </c>
      <c r="G8" s="3">
        <v>46151</v>
      </c>
      <c r="H8" s="3">
        <v>46155</v>
      </c>
      <c r="I8" s="2" t="s">
        <v>16</v>
      </c>
      <c r="J8" s="2" t="s">
        <v>30</v>
      </c>
      <c r="K8" s="2">
        <v>1500</v>
      </c>
      <c r="N8" s="7" t="s">
        <v>129</v>
      </c>
    </row>
    <row r="9" spans="1:14" x14ac:dyDescent="0.8">
      <c r="A9" s="2" t="s">
        <v>34</v>
      </c>
      <c r="B9" s="2" t="s">
        <v>12</v>
      </c>
      <c r="C9" s="2">
        <v>9064839608</v>
      </c>
      <c r="D9" s="2" t="s">
        <v>13</v>
      </c>
      <c r="E9" s="2" t="s">
        <v>33</v>
      </c>
      <c r="F9" s="2" t="s">
        <v>22</v>
      </c>
      <c r="G9" s="3">
        <v>46153</v>
      </c>
      <c r="H9" s="3">
        <v>46157</v>
      </c>
      <c r="I9" s="2" t="s">
        <v>35</v>
      </c>
      <c r="J9" s="2" t="s">
        <v>24</v>
      </c>
      <c r="K9" s="2">
        <v>1800</v>
      </c>
      <c r="N9" s="7" t="s">
        <v>132</v>
      </c>
    </row>
    <row r="10" spans="1:14" x14ac:dyDescent="0.8">
      <c r="A10" s="2" t="s">
        <v>36</v>
      </c>
      <c r="B10" s="2" t="s">
        <v>37</v>
      </c>
      <c r="C10" s="2">
        <v>9768326114</v>
      </c>
      <c r="D10" s="2" t="s">
        <v>38</v>
      </c>
      <c r="E10" s="2" t="s">
        <v>33</v>
      </c>
      <c r="F10" s="2" t="s">
        <v>29</v>
      </c>
      <c r="G10" s="3">
        <v>46155</v>
      </c>
      <c r="H10" s="3">
        <v>46158</v>
      </c>
      <c r="I10" s="2" t="s">
        <v>23</v>
      </c>
      <c r="J10" s="2" t="s">
        <v>17</v>
      </c>
      <c r="K10" s="2">
        <v>1500</v>
      </c>
      <c r="N10" s="7" t="s">
        <v>131</v>
      </c>
    </row>
    <row r="11" spans="1:14" x14ac:dyDescent="0.8">
      <c r="A11" s="2" t="s">
        <v>39</v>
      </c>
      <c r="B11" s="2" t="s">
        <v>19</v>
      </c>
      <c r="C11" s="2">
        <v>9377396740</v>
      </c>
      <c r="D11" s="2" t="s">
        <v>40</v>
      </c>
      <c r="E11" s="2" t="s">
        <v>41</v>
      </c>
      <c r="F11" s="2" t="s">
        <v>22</v>
      </c>
      <c r="G11" s="3">
        <v>46157</v>
      </c>
      <c r="H11" s="3">
        <v>46161</v>
      </c>
      <c r="I11" s="2" t="s">
        <v>23</v>
      </c>
      <c r="J11" s="2" t="s">
        <v>17</v>
      </c>
      <c r="K11" s="2">
        <v>2500</v>
      </c>
      <c r="N11" s="7"/>
    </row>
    <row r="12" spans="1:14" x14ac:dyDescent="0.8">
      <c r="A12" s="2" t="s">
        <v>42</v>
      </c>
      <c r="B12" s="2" t="s">
        <v>19</v>
      </c>
      <c r="C12" s="2">
        <v>9119184086</v>
      </c>
      <c r="D12" s="2" t="s">
        <v>38</v>
      </c>
      <c r="E12" s="2" t="s">
        <v>33</v>
      </c>
      <c r="F12" s="2" t="s">
        <v>43</v>
      </c>
      <c r="G12" s="3">
        <v>46159</v>
      </c>
      <c r="H12" s="3">
        <v>46164</v>
      </c>
      <c r="I12" s="2" t="s">
        <v>23</v>
      </c>
      <c r="J12" s="2" t="s">
        <v>24</v>
      </c>
      <c r="K12" s="2">
        <v>1500</v>
      </c>
      <c r="N12" s="7"/>
    </row>
    <row r="13" spans="1:14" x14ac:dyDescent="0.8">
      <c r="A13" s="2" t="s">
        <v>44</v>
      </c>
      <c r="B13" s="2" t="s">
        <v>19</v>
      </c>
      <c r="C13" s="2">
        <v>9619137809</v>
      </c>
      <c r="D13" s="2" t="s">
        <v>38</v>
      </c>
      <c r="E13" s="2" t="s">
        <v>14</v>
      </c>
      <c r="F13" s="2" t="s">
        <v>43</v>
      </c>
      <c r="G13" s="3">
        <v>46161</v>
      </c>
      <c r="H13" s="3">
        <v>46166</v>
      </c>
      <c r="I13" s="2" t="s">
        <v>16</v>
      </c>
      <c r="J13" s="2" t="s">
        <v>30</v>
      </c>
      <c r="K13" s="2">
        <v>1200</v>
      </c>
      <c r="N13" s="5"/>
    </row>
    <row r="14" spans="1:14" x14ac:dyDescent="0.8">
      <c r="A14" s="2" t="s">
        <v>45</v>
      </c>
      <c r="B14" s="2" t="s">
        <v>46</v>
      </c>
      <c r="C14" s="2">
        <v>9112666623</v>
      </c>
      <c r="D14" s="2" t="s">
        <v>32</v>
      </c>
      <c r="E14" s="2" t="s">
        <v>14</v>
      </c>
      <c r="F14" s="2" t="s">
        <v>22</v>
      </c>
      <c r="G14" s="3">
        <v>46163</v>
      </c>
      <c r="H14" s="3">
        <v>46167</v>
      </c>
      <c r="I14" s="2" t="s">
        <v>47</v>
      </c>
      <c r="J14" s="2" t="s">
        <v>17</v>
      </c>
      <c r="K14" s="2">
        <v>2500</v>
      </c>
      <c r="N14" s="5"/>
    </row>
    <row r="15" spans="1:14" x14ac:dyDescent="0.8">
      <c r="A15" s="2" t="s">
        <v>48</v>
      </c>
      <c r="B15" s="2" t="s">
        <v>49</v>
      </c>
      <c r="C15" s="2">
        <v>9465816038</v>
      </c>
      <c r="D15" s="2" t="s">
        <v>32</v>
      </c>
      <c r="E15" s="2" t="s">
        <v>33</v>
      </c>
      <c r="F15" s="2" t="s">
        <v>22</v>
      </c>
      <c r="G15" s="3">
        <v>46165</v>
      </c>
      <c r="H15" s="3">
        <v>46169</v>
      </c>
      <c r="I15" s="2" t="s">
        <v>23</v>
      </c>
      <c r="J15" s="2" t="s">
        <v>30</v>
      </c>
      <c r="K15" s="2">
        <v>1800</v>
      </c>
      <c r="N15" s="5"/>
    </row>
    <row r="16" spans="1:14" x14ac:dyDescent="0.8">
      <c r="A16" s="2" t="s">
        <v>50</v>
      </c>
      <c r="B16" s="2" t="s">
        <v>26</v>
      </c>
      <c r="C16" s="2">
        <v>9652665217</v>
      </c>
      <c r="D16" s="2" t="s">
        <v>38</v>
      </c>
      <c r="E16" s="2" t="s">
        <v>41</v>
      </c>
      <c r="F16" s="2" t="s">
        <v>15</v>
      </c>
      <c r="G16" s="3">
        <v>46167</v>
      </c>
      <c r="H16" s="3">
        <v>46172</v>
      </c>
      <c r="I16" s="2" t="s">
        <v>23</v>
      </c>
      <c r="J16" s="2" t="s">
        <v>24</v>
      </c>
      <c r="K16" s="2">
        <v>1800</v>
      </c>
      <c r="N16" s="5"/>
    </row>
    <row r="17" spans="1:14" x14ac:dyDescent="0.8">
      <c r="A17" s="2" t="s">
        <v>51</v>
      </c>
      <c r="B17" s="2" t="s">
        <v>37</v>
      </c>
      <c r="C17" s="2">
        <v>9390348253</v>
      </c>
      <c r="D17" s="2" t="s">
        <v>38</v>
      </c>
      <c r="E17" s="2" t="s">
        <v>14</v>
      </c>
      <c r="F17" s="2" t="s">
        <v>52</v>
      </c>
      <c r="G17" s="3">
        <v>46169</v>
      </c>
      <c r="H17" s="3">
        <v>46173</v>
      </c>
      <c r="I17" s="2" t="s">
        <v>27</v>
      </c>
      <c r="J17" s="2" t="s">
        <v>24</v>
      </c>
      <c r="K17" s="2">
        <v>1800</v>
      </c>
      <c r="N17" s="5"/>
    </row>
    <row r="18" spans="1:14" x14ac:dyDescent="0.8">
      <c r="A18" s="2" t="s">
        <v>53</v>
      </c>
      <c r="B18" s="2" t="s">
        <v>54</v>
      </c>
      <c r="C18" s="2">
        <v>9275509037</v>
      </c>
      <c r="D18" s="2" t="s">
        <v>13</v>
      </c>
      <c r="E18" s="2" t="s">
        <v>14</v>
      </c>
      <c r="F18" s="2" t="s">
        <v>15</v>
      </c>
      <c r="G18" s="3">
        <v>46171</v>
      </c>
      <c r="H18" s="3">
        <v>46175</v>
      </c>
      <c r="I18" s="2" t="s">
        <v>23</v>
      </c>
      <c r="J18" s="2" t="s">
        <v>17</v>
      </c>
      <c r="K18" s="2">
        <v>2000</v>
      </c>
      <c r="N18" s="5"/>
    </row>
    <row r="19" spans="1:14" x14ac:dyDescent="0.8">
      <c r="A19" s="2" t="s">
        <v>55</v>
      </c>
      <c r="B19" s="2" t="s">
        <v>46</v>
      </c>
      <c r="C19" s="2">
        <v>9476339198</v>
      </c>
      <c r="D19" s="2" t="s">
        <v>32</v>
      </c>
      <c r="E19" s="2" t="s">
        <v>41</v>
      </c>
      <c r="F19" s="2" t="s">
        <v>29</v>
      </c>
      <c r="G19" s="3">
        <v>46173</v>
      </c>
      <c r="H19" s="3">
        <v>46178</v>
      </c>
      <c r="I19" s="2" t="s">
        <v>27</v>
      </c>
      <c r="J19" s="2" t="s">
        <v>30</v>
      </c>
      <c r="K19" s="2">
        <v>1800</v>
      </c>
      <c r="N19" s="5"/>
    </row>
    <row r="20" spans="1:14" x14ac:dyDescent="0.8">
      <c r="A20" s="2" t="s">
        <v>56</v>
      </c>
      <c r="B20" s="2" t="s">
        <v>57</v>
      </c>
      <c r="C20" s="2">
        <v>9926073412</v>
      </c>
      <c r="D20" s="2" t="s">
        <v>58</v>
      </c>
      <c r="E20" s="2" t="s">
        <v>14</v>
      </c>
      <c r="F20" s="2" t="s">
        <v>43</v>
      </c>
      <c r="G20" s="3">
        <v>46175</v>
      </c>
      <c r="H20" s="3">
        <v>46179</v>
      </c>
      <c r="I20" s="2" t="s">
        <v>27</v>
      </c>
      <c r="J20" s="2" t="s">
        <v>30</v>
      </c>
      <c r="K20" s="2">
        <v>1800</v>
      </c>
      <c r="N20" s="5"/>
    </row>
    <row r="21" spans="1:14" x14ac:dyDescent="0.8">
      <c r="A21" s="2" t="s">
        <v>59</v>
      </c>
      <c r="B21" s="2" t="s">
        <v>60</v>
      </c>
      <c r="C21" s="2">
        <v>9017654207</v>
      </c>
      <c r="D21" s="2" t="s">
        <v>32</v>
      </c>
      <c r="E21" s="2" t="s">
        <v>41</v>
      </c>
      <c r="F21" s="2" t="s">
        <v>29</v>
      </c>
      <c r="G21" s="3">
        <v>46177</v>
      </c>
      <c r="H21" s="3">
        <v>46181</v>
      </c>
      <c r="I21" s="2" t="s">
        <v>35</v>
      </c>
      <c r="J21" s="2" t="s">
        <v>30</v>
      </c>
      <c r="K21" s="2">
        <v>2000</v>
      </c>
      <c r="N21" s="5"/>
    </row>
    <row r="22" spans="1:14" x14ac:dyDescent="0.8">
      <c r="A22" s="2" t="s">
        <v>61</v>
      </c>
      <c r="B22" s="2" t="s">
        <v>62</v>
      </c>
      <c r="C22" s="2">
        <v>9629461651</v>
      </c>
      <c r="D22" s="2" t="s">
        <v>40</v>
      </c>
      <c r="E22" s="2" t="s">
        <v>41</v>
      </c>
      <c r="F22" s="2" t="s">
        <v>29</v>
      </c>
      <c r="G22" s="3">
        <v>46179</v>
      </c>
      <c r="H22" s="3">
        <v>46184</v>
      </c>
      <c r="I22" s="2" t="s">
        <v>23</v>
      </c>
      <c r="J22" s="2" t="s">
        <v>30</v>
      </c>
      <c r="K22" s="2">
        <v>2000</v>
      </c>
    </row>
    <row r="23" spans="1:14" x14ac:dyDescent="0.8">
      <c r="A23" s="2" t="s">
        <v>63</v>
      </c>
      <c r="B23" s="2" t="s">
        <v>64</v>
      </c>
      <c r="C23" s="2">
        <v>9227105918</v>
      </c>
      <c r="D23" s="2" t="s">
        <v>20</v>
      </c>
      <c r="E23" s="2" t="s">
        <v>41</v>
      </c>
      <c r="F23" s="2" t="s">
        <v>22</v>
      </c>
      <c r="G23" s="3">
        <v>46181</v>
      </c>
      <c r="H23" s="3">
        <v>46186</v>
      </c>
      <c r="I23" s="2" t="s">
        <v>16</v>
      </c>
      <c r="J23" s="2" t="s">
        <v>30</v>
      </c>
      <c r="K23" s="2">
        <v>1800</v>
      </c>
    </row>
    <row r="24" spans="1:14" x14ac:dyDescent="0.8">
      <c r="A24" s="2" t="s">
        <v>65</v>
      </c>
      <c r="B24" s="2" t="s">
        <v>66</v>
      </c>
      <c r="C24" s="2">
        <v>9638174005</v>
      </c>
      <c r="D24" s="2" t="s">
        <v>13</v>
      </c>
      <c r="E24" s="2" t="s">
        <v>14</v>
      </c>
      <c r="F24" s="2" t="s">
        <v>15</v>
      </c>
      <c r="G24" s="3">
        <v>46183</v>
      </c>
      <c r="H24" s="3">
        <v>46187</v>
      </c>
      <c r="I24" s="2" t="s">
        <v>23</v>
      </c>
      <c r="J24" s="2" t="s">
        <v>24</v>
      </c>
      <c r="K24" s="2">
        <v>1800</v>
      </c>
    </row>
    <row r="25" spans="1:14" x14ac:dyDescent="0.8">
      <c r="A25" s="2" t="s">
        <v>67</v>
      </c>
      <c r="B25" s="2" t="s">
        <v>60</v>
      </c>
      <c r="C25" s="2">
        <v>9625733606</v>
      </c>
      <c r="D25" s="2" t="s">
        <v>32</v>
      </c>
      <c r="E25" s="2" t="s">
        <v>14</v>
      </c>
      <c r="F25" s="2" t="s">
        <v>22</v>
      </c>
      <c r="G25" s="3">
        <v>46185</v>
      </c>
      <c r="H25" s="3">
        <v>46189</v>
      </c>
      <c r="I25" s="2" t="s">
        <v>27</v>
      </c>
      <c r="J25" s="2" t="s">
        <v>30</v>
      </c>
      <c r="K25" s="2">
        <v>1800</v>
      </c>
    </row>
    <row r="26" spans="1:14" x14ac:dyDescent="0.8">
      <c r="A26" s="2" t="s">
        <v>68</v>
      </c>
      <c r="B26" s="2" t="s">
        <v>66</v>
      </c>
      <c r="C26" s="2">
        <v>9835186022</v>
      </c>
      <c r="D26" s="2" t="s">
        <v>38</v>
      </c>
      <c r="E26" s="2" t="s">
        <v>14</v>
      </c>
      <c r="F26" s="2" t="s">
        <v>43</v>
      </c>
      <c r="G26" s="3">
        <v>46187</v>
      </c>
      <c r="H26" s="3">
        <v>46191</v>
      </c>
      <c r="I26" s="2" t="s">
        <v>16</v>
      </c>
      <c r="J26" s="2" t="s">
        <v>17</v>
      </c>
      <c r="K26" s="2">
        <v>1800</v>
      </c>
    </row>
    <row r="27" spans="1:14" x14ac:dyDescent="0.8">
      <c r="A27" s="2" t="s">
        <v>69</v>
      </c>
      <c r="B27" s="2" t="s">
        <v>12</v>
      </c>
      <c r="C27" s="2">
        <v>9212257120</v>
      </c>
      <c r="D27" s="2" t="s">
        <v>40</v>
      </c>
      <c r="E27" s="2" t="s">
        <v>33</v>
      </c>
      <c r="F27" s="2" t="s">
        <v>22</v>
      </c>
      <c r="G27" s="3">
        <v>46189</v>
      </c>
      <c r="H27" s="3">
        <v>46194</v>
      </c>
      <c r="I27" s="2" t="s">
        <v>35</v>
      </c>
      <c r="J27" s="2" t="s">
        <v>30</v>
      </c>
      <c r="K27" s="2">
        <v>1500</v>
      </c>
    </row>
    <row r="28" spans="1:14" x14ac:dyDescent="0.8">
      <c r="A28" s="2" t="s">
        <v>70</v>
      </c>
      <c r="B28" s="2" t="s">
        <v>26</v>
      </c>
      <c r="C28" s="2">
        <v>9475357426</v>
      </c>
      <c r="D28" s="2" t="s">
        <v>20</v>
      </c>
      <c r="E28" s="2" t="s">
        <v>21</v>
      </c>
      <c r="F28" s="2" t="s">
        <v>15</v>
      </c>
      <c r="G28" s="3">
        <v>46191</v>
      </c>
      <c r="H28" s="3">
        <v>46196</v>
      </c>
      <c r="I28" s="2" t="s">
        <v>27</v>
      </c>
      <c r="J28" s="2" t="s">
        <v>24</v>
      </c>
      <c r="K28" s="2">
        <v>1800</v>
      </c>
    </row>
    <row r="29" spans="1:14" x14ac:dyDescent="0.8">
      <c r="A29" s="2" t="s">
        <v>71</v>
      </c>
      <c r="B29" s="2" t="s">
        <v>60</v>
      </c>
      <c r="C29" s="2">
        <v>9106918347</v>
      </c>
      <c r="D29" s="2" t="s">
        <v>32</v>
      </c>
      <c r="E29" s="2" t="s">
        <v>33</v>
      </c>
      <c r="F29" s="2" t="s">
        <v>15</v>
      </c>
      <c r="G29" s="3">
        <v>46193</v>
      </c>
      <c r="H29" s="3">
        <v>46197</v>
      </c>
      <c r="I29" s="2" t="s">
        <v>47</v>
      </c>
      <c r="J29" s="2" t="s">
        <v>24</v>
      </c>
      <c r="K29" s="2">
        <v>1200</v>
      </c>
    </row>
    <row r="30" spans="1:14" x14ac:dyDescent="0.8">
      <c r="A30" s="2" t="s">
        <v>72</v>
      </c>
      <c r="B30" s="2" t="s">
        <v>54</v>
      </c>
      <c r="C30" s="2">
        <v>9921679852</v>
      </c>
      <c r="D30" s="2" t="s">
        <v>32</v>
      </c>
      <c r="E30" s="2" t="s">
        <v>41</v>
      </c>
      <c r="F30" s="2" t="s">
        <v>29</v>
      </c>
      <c r="G30" s="3">
        <v>46195</v>
      </c>
      <c r="H30" s="3">
        <v>46200</v>
      </c>
      <c r="I30" s="2" t="s">
        <v>16</v>
      </c>
      <c r="J30" s="2" t="s">
        <v>30</v>
      </c>
      <c r="K30" s="2">
        <v>2000</v>
      </c>
    </row>
    <row r="31" spans="1:14" x14ac:dyDescent="0.8">
      <c r="A31" s="2" t="s">
        <v>73</v>
      </c>
      <c r="B31" s="2" t="s">
        <v>46</v>
      </c>
      <c r="C31" s="2">
        <v>9868032086</v>
      </c>
      <c r="D31" s="2" t="s">
        <v>58</v>
      </c>
      <c r="E31" s="2" t="s">
        <v>21</v>
      </c>
      <c r="F31" s="2" t="s">
        <v>15</v>
      </c>
      <c r="G31" s="3">
        <v>46197</v>
      </c>
      <c r="H31" s="3">
        <v>46202</v>
      </c>
      <c r="I31" s="2" t="s">
        <v>35</v>
      </c>
      <c r="J31" s="2" t="s">
        <v>30</v>
      </c>
      <c r="K31" s="2">
        <v>1500</v>
      </c>
    </row>
    <row r="32" spans="1:14" x14ac:dyDescent="0.8">
      <c r="A32" s="2" t="s">
        <v>74</v>
      </c>
      <c r="B32" s="2" t="s">
        <v>37</v>
      </c>
      <c r="C32" s="2">
        <v>9861841476</v>
      </c>
      <c r="D32" s="2" t="s">
        <v>40</v>
      </c>
      <c r="E32" s="2" t="s">
        <v>14</v>
      </c>
      <c r="F32" s="2" t="s">
        <v>22</v>
      </c>
      <c r="G32" s="3">
        <v>46199</v>
      </c>
      <c r="H32" s="3">
        <v>46203</v>
      </c>
      <c r="I32" s="2" t="s">
        <v>47</v>
      </c>
      <c r="J32" s="2" t="s">
        <v>17</v>
      </c>
      <c r="K32" s="2">
        <v>1500</v>
      </c>
    </row>
    <row r="33" spans="1:11" x14ac:dyDescent="0.8">
      <c r="A33" s="2" t="s">
        <v>75</v>
      </c>
      <c r="B33" s="2" t="s">
        <v>64</v>
      </c>
      <c r="C33" s="2">
        <v>9920500737</v>
      </c>
      <c r="D33" s="2" t="s">
        <v>38</v>
      </c>
      <c r="E33" s="2" t="s">
        <v>33</v>
      </c>
      <c r="F33" s="2" t="s">
        <v>43</v>
      </c>
      <c r="G33" s="3">
        <v>46201</v>
      </c>
      <c r="H33" s="3">
        <v>46206</v>
      </c>
      <c r="I33" s="2" t="s">
        <v>35</v>
      </c>
      <c r="J33" s="2" t="s">
        <v>30</v>
      </c>
      <c r="K33" s="2">
        <v>2500</v>
      </c>
    </row>
    <row r="34" spans="1:11" x14ac:dyDescent="0.8">
      <c r="A34" s="2" t="s">
        <v>76</v>
      </c>
      <c r="B34" s="2" t="s">
        <v>66</v>
      </c>
      <c r="C34" s="2">
        <v>9736489458</v>
      </c>
      <c r="D34" s="2" t="s">
        <v>20</v>
      </c>
      <c r="E34" s="2" t="s">
        <v>21</v>
      </c>
      <c r="F34" s="2" t="s">
        <v>43</v>
      </c>
      <c r="G34" s="3">
        <v>46203</v>
      </c>
      <c r="H34" s="3">
        <v>46208</v>
      </c>
      <c r="I34" s="2" t="s">
        <v>23</v>
      </c>
      <c r="J34" s="2" t="s">
        <v>17</v>
      </c>
      <c r="K34" s="2">
        <v>2000</v>
      </c>
    </row>
    <row r="35" spans="1:11" x14ac:dyDescent="0.8">
      <c r="A35" s="2" t="s">
        <v>77</v>
      </c>
      <c r="B35" s="2" t="s">
        <v>64</v>
      </c>
      <c r="C35" s="2">
        <v>9366218471</v>
      </c>
      <c r="D35" s="2" t="s">
        <v>38</v>
      </c>
      <c r="E35" s="2" t="s">
        <v>33</v>
      </c>
      <c r="F35" s="2" t="s">
        <v>43</v>
      </c>
      <c r="G35" s="3">
        <v>46205</v>
      </c>
      <c r="H35" s="3">
        <v>46209</v>
      </c>
      <c r="I35" s="2" t="s">
        <v>47</v>
      </c>
      <c r="J35" s="2" t="s">
        <v>30</v>
      </c>
      <c r="K35" s="2">
        <v>1200</v>
      </c>
    </row>
    <row r="36" spans="1:11" x14ac:dyDescent="0.8">
      <c r="A36" s="2" t="s">
        <v>78</v>
      </c>
      <c r="B36" s="2" t="s">
        <v>26</v>
      </c>
      <c r="C36" s="2">
        <v>9527626562</v>
      </c>
      <c r="D36" s="2" t="s">
        <v>13</v>
      </c>
      <c r="E36" s="2" t="s">
        <v>21</v>
      </c>
      <c r="F36" s="2" t="s">
        <v>22</v>
      </c>
      <c r="G36" s="3">
        <v>46207</v>
      </c>
      <c r="H36" s="3">
        <v>46211</v>
      </c>
      <c r="I36" s="2" t="s">
        <v>47</v>
      </c>
      <c r="J36" s="2" t="s">
        <v>17</v>
      </c>
      <c r="K36" s="2">
        <v>1800</v>
      </c>
    </row>
    <row r="37" spans="1:11" x14ac:dyDescent="0.8">
      <c r="A37" s="2" t="s">
        <v>79</v>
      </c>
      <c r="B37" s="2" t="s">
        <v>46</v>
      </c>
      <c r="C37" s="2">
        <v>9932583046</v>
      </c>
      <c r="D37" s="2" t="s">
        <v>38</v>
      </c>
      <c r="E37" s="2" t="s">
        <v>41</v>
      </c>
      <c r="F37" s="2" t="s">
        <v>52</v>
      </c>
      <c r="G37" s="3">
        <v>46209</v>
      </c>
      <c r="H37" s="3">
        <v>46213</v>
      </c>
      <c r="I37" s="2" t="s">
        <v>47</v>
      </c>
      <c r="J37" s="2" t="s">
        <v>30</v>
      </c>
      <c r="K37" s="2">
        <v>1200</v>
      </c>
    </row>
    <row r="38" spans="1:11" x14ac:dyDescent="0.8">
      <c r="A38" s="2" t="s">
        <v>80</v>
      </c>
      <c r="B38" s="2" t="s">
        <v>26</v>
      </c>
      <c r="C38" s="2">
        <v>9360697583</v>
      </c>
      <c r="D38" s="2" t="s">
        <v>32</v>
      </c>
      <c r="E38" s="2" t="s">
        <v>41</v>
      </c>
      <c r="F38" s="2" t="s">
        <v>43</v>
      </c>
      <c r="G38" s="3">
        <v>46211</v>
      </c>
      <c r="H38" s="3">
        <v>46216</v>
      </c>
      <c r="I38" s="2" t="s">
        <v>16</v>
      </c>
      <c r="J38" s="2" t="s">
        <v>17</v>
      </c>
      <c r="K38" s="2">
        <v>1800</v>
      </c>
    </row>
    <row r="39" spans="1:11" x14ac:dyDescent="0.8">
      <c r="A39" s="2" t="s">
        <v>81</v>
      </c>
      <c r="B39" s="2" t="s">
        <v>54</v>
      </c>
      <c r="C39" s="2">
        <v>9238308743</v>
      </c>
      <c r="D39" s="2" t="s">
        <v>40</v>
      </c>
      <c r="E39" s="2" t="s">
        <v>21</v>
      </c>
      <c r="F39" s="2" t="s">
        <v>29</v>
      </c>
      <c r="G39" s="3">
        <v>46213</v>
      </c>
      <c r="H39" s="3">
        <v>46218</v>
      </c>
      <c r="I39" s="2" t="s">
        <v>47</v>
      </c>
      <c r="J39" s="2" t="s">
        <v>24</v>
      </c>
      <c r="K39" s="2">
        <v>2000</v>
      </c>
    </row>
    <row r="40" spans="1:11" x14ac:dyDescent="0.8">
      <c r="A40" s="2" t="s">
        <v>82</v>
      </c>
      <c r="B40" s="2" t="s">
        <v>49</v>
      </c>
      <c r="C40" s="2">
        <v>9755025884</v>
      </c>
      <c r="D40" s="2" t="s">
        <v>58</v>
      </c>
      <c r="E40" s="2" t="s">
        <v>21</v>
      </c>
      <c r="F40" s="2" t="s">
        <v>52</v>
      </c>
      <c r="G40" s="3">
        <v>46215</v>
      </c>
      <c r="H40" s="3">
        <v>46220</v>
      </c>
      <c r="I40" s="2" t="s">
        <v>23</v>
      </c>
      <c r="J40" s="2" t="s">
        <v>30</v>
      </c>
      <c r="K40" s="2">
        <v>1800</v>
      </c>
    </row>
    <row r="41" spans="1:11" x14ac:dyDescent="0.8">
      <c r="A41" s="2" t="s">
        <v>83</v>
      </c>
      <c r="B41" s="2" t="s">
        <v>66</v>
      </c>
      <c r="C41" s="2">
        <v>9283263588</v>
      </c>
      <c r="D41" s="2" t="s">
        <v>38</v>
      </c>
      <c r="E41" s="2" t="s">
        <v>14</v>
      </c>
      <c r="F41" s="2" t="s">
        <v>52</v>
      </c>
      <c r="G41" s="3">
        <v>46217</v>
      </c>
      <c r="H41" s="3">
        <v>46221</v>
      </c>
      <c r="I41" s="2" t="s">
        <v>23</v>
      </c>
      <c r="J41" s="2" t="s">
        <v>24</v>
      </c>
      <c r="K41" s="2">
        <v>2000</v>
      </c>
    </row>
    <row r="42" spans="1:11" x14ac:dyDescent="0.8">
      <c r="A42" s="2" t="s">
        <v>84</v>
      </c>
      <c r="B42" s="2" t="s">
        <v>54</v>
      </c>
      <c r="C42" s="2">
        <v>9824936755</v>
      </c>
      <c r="D42" s="2" t="s">
        <v>40</v>
      </c>
      <c r="E42" s="2" t="s">
        <v>33</v>
      </c>
      <c r="F42" s="2" t="s">
        <v>29</v>
      </c>
      <c r="G42" s="3">
        <v>46219</v>
      </c>
      <c r="H42" s="3">
        <v>46223</v>
      </c>
      <c r="I42" s="2" t="s">
        <v>23</v>
      </c>
      <c r="J42" s="2" t="s">
        <v>30</v>
      </c>
      <c r="K42" s="2">
        <v>1500</v>
      </c>
    </row>
    <row r="43" spans="1:11" x14ac:dyDescent="0.8">
      <c r="A43" s="2" t="s">
        <v>85</v>
      </c>
      <c r="B43" s="2" t="s">
        <v>26</v>
      </c>
      <c r="C43" s="2">
        <v>9210639184</v>
      </c>
      <c r="D43" s="2" t="s">
        <v>13</v>
      </c>
      <c r="E43" s="2" t="s">
        <v>14</v>
      </c>
      <c r="F43" s="2" t="s">
        <v>22</v>
      </c>
      <c r="G43" s="3">
        <v>46221</v>
      </c>
      <c r="H43" s="3">
        <v>46226</v>
      </c>
      <c r="I43" s="2" t="s">
        <v>27</v>
      </c>
      <c r="J43" s="2" t="s">
        <v>24</v>
      </c>
      <c r="K43" s="2">
        <v>1500</v>
      </c>
    </row>
    <row r="44" spans="1:11" x14ac:dyDescent="0.8">
      <c r="A44" s="2" t="s">
        <v>86</v>
      </c>
      <c r="B44" s="2" t="s">
        <v>62</v>
      </c>
      <c r="C44" s="2">
        <v>9400250461</v>
      </c>
      <c r="D44" s="2" t="s">
        <v>58</v>
      </c>
      <c r="E44" s="2" t="s">
        <v>21</v>
      </c>
      <c r="F44" s="2" t="s">
        <v>22</v>
      </c>
      <c r="G44" s="3">
        <v>46223</v>
      </c>
      <c r="H44" s="3">
        <v>46227</v>
      </c>
      <c r="I44" s="2" t="s">
        <v>23</v>
      </c>
      <c r="J44" s="2" t="s">
        <v>30</v>
      </c>
      <c r="K44" s="2">
        <v>2500</v>
      </c>
    </row>
    <row r="45" spans="1:11" x14ac:dyDescent="0.8">
      <c r="A45" s="2" t="s">
        <v>87</v>
      </c>
      <c r="B45" s="2" t="s">
        <v>12</v>
      </c>
      <c r="C45" s="2">
        <v>9320663424</v>
      </c>
      <c r="D45" s="2" t="s">
        <v>38</v>
      </c>
      <c r="E45" s="2" t="s">
        <v>14</v>
      </c>
      <c r="F45" s="2" t="s">
        <v>43</v>
      </c>
      <c r="G45" s="3">
        <v>46225</v>
      </c>
      <c r="H45" s="3">
        <v>46230</v>
      </c>
      <c r="I45" s="2" t="s">
        <v>27</v>
      </c>
      <c r="J45" s="2" t="s">
        <v>24</v>
      </c>
      <c r="K45" s="2">
        <v>1800</v>
      </c>
    </row>
    <row r="46" spans="1:11" x14ac:dyDescent="0.8">
      <c r="A46" s="2" t="s">
        <v>88</v>
      </c>
      <c r="B46" s="2" t="s">
        <v>19</v>
      </c>
      <c r="C46" s="2">
        <v>9399034891</v>
      </c>
      <c r="D46" s="2" t="s">
        <v>58</v>
      </c>
      <c r="E46" s="2" t="s">
        <v>21</v>
      </c>
      <c r="F46" s="2" t="s">
        <v>15</v>
      </c>
      <c r="G46" s="3">
        <v>46227</v>
      </c>
      <c r="H46" s="3">
        <v>46231</v>
      </c>
      <c r="I46" s="2" t="s">
        <v>27</v>
      </c>
      <c r="J46" s="2" t="s">
        <v>24</v>
      </c>
      <c r="K46" s="2">
        <v>1500</v>
      </c>
    </row>
    <row r="47" spans="1:11" x14ac:dyDescent="0.8">
      <c r="A47" s="2" t="s">
        <v>89</v>
      </c>
      <c r="B47" s="2" t="s">
        <v>37</v>
      </c>
      <c r="C47" s="2">
        <v>9118563881</v>
      </c>
      <c r="D47" s="2" t="s">
        <v>20</v>
      </c>
      <c r="E47" s="2" t="s">
        <v>21</v>
      </c>
      <c r="F47" s="2" t="s">
        <v>29</v>
      </c>
      <c r="G47" s="3">
        <v>46229</v>
      </c>
      <c r="H47" s="3">
        <v>46234</v>
      </c>
      <c r="I47" s="2" t="s">
        <v>23</v>
      </c>
      <c r="J47" s="2" t="s">
        <v>30</v>
      </c>
      <c r="K47" s="2">
        <v>2500</v>
      </c>
    </row>
    <row r="48" spans="1:11" x14ac:dyDescent="0.8">
      <c r="A48" s="2" t="s">
        <v>90</v>
      </c>
      <c r="B48" s="2" t="s">
        <v>19</v>
      </c>
      <c r="C48" s="2">
        <v>9365919720</v>
      </c>
      <c r="D48" s="2" t="s">
        <v>32</v>
      </c>
      <c r="E48" s="2" t="s">
        <v>41</v>
      </c>
      <c r="F48" s="2" t="s">
        <v>22</v>
      </c>
      <c r="G48" s="3">
        <v>46231</v>
      </c>
      <c r="H48" s="3">
        <v>46236</v>
      </c>
      <c r="I48" s="2" t="s">
        <v>35</v>
      </c>
      <c r="J48" s="2" t="s">
        <v>24</v>
      </c>
      <c r="K48" s="2">
        <v>2000</v>
      </c>
    </row>
    <row r="49" spans="1:11" x14ac:dyDescent="0.8">
      <c r="A49" s="2" t="s">
        <v>91</v>
      </c>
      <c r="B49" s="2" t="s">
        <v>64</v>
      </c>
      <c r="C49" s="2">
        <v>9346381758</v>
      </c>
      <c r="D49" s="2" t="s">
        <v>58</v>
      </c>
      <c r="E49" s="2" t="s">
        <v>14</v>
      </c>
      <c r="F49" s="2" t="s">
        <v>29</v>
      </c>
      <c r="G49" s="3">
        <v>46233</v>
      </c>
      <c r="H49" s="3">
        <v>46238</v>
      </c>
      <c r="I49" s="2" t="s">
        <v>47</v>
      </c>
      <c r="J49" s="2" t="s">
        <v>30</v>
      </c>
      <c r="K49" s="2">
        <v>1500</v>
      </c>
    </row>
    <row r="50" spans="1:11" x14ac:dyDescent="0.8">
      <c r="A50" s="2" t="s">
        <v>92</v>
      </c>
      <c r="B50" s="2" t="s">
        <v>12</v>
      </c>
      <c r="C50" s="2">
        <v>9392859449</v>
      </c>
      <c r="D50" s="2" t="s">
        <v>38</v>
      </c>
      <c r="E50" s="2" t="s">
        <v>21</v>
      </c>
      <c r="F50" s="2" t="s">
        <v>52</v>
      </c>
      <c r="G50" s="3">
        <v>46235</v>
      </c>
      <c r="H50" s="3">
        <v>46239</v>
      </c>
      <c r="I50" s="2" t="s">
        <v>16</v>
      </c>
      <c r="J50" s="2" t="s">
        <v>24</v>
      </c>
      <c r="K50" s="2">
        <v>1500</v>
      </c>
    </row>
    <row r="51" spans="1:11" x14ac:dyDescent="0.8">
      <c r="A51" s="2" t="s">
        <v>93</v>
      </c>
      <c r="B51" s="2" t="s">
        <v>57</v>
      </c>
      <c r="C51" s="2">
        <v>9979725420</v>
      </c>
      <c r="D51" s="2" t="s">
        <v>38</v>
      </c>
      <c r="E51" s="2" t="s">
        <v>14</v>
      </c>
      <c r="F51" s="2" t="s">
        <v>52</v>
      </c>
      <c r="G51" s="3">
        <v>46237</v>
      </c>
      <c r="H51" s="3">
        <v>46242</v>
      </c>
      <c r="I51" s="2" t="s">
        <v>23</v>
      </c>
      <c r="J51" s="2" t="s">
        <v>17</v>
      </c>
      <c r="K51" s="2">
        <v>1800</v>
      </c>
    </row>
    <row r="52" spans="1:11" x14ac:dyDescent="0.8">
      <c r="A52" s="2" t="s">
        <v>94</v>
      </c>
      <c r="B52" s="2" t="s">
        <v>54</v>
      </c>
      <c r="C52" s="2">
        <v>9440002721</v>
      </c>
      <c r="D52" s="2" t="s">
        <v>32</v>
      </c>
      <c r="E52" s="2" t="s">
        <v>41</v>
      </c>
      <c r="F52" s="2" t="s">
        <v>43</v>
      </c>
      <c r="G52" s="3">
        <v>46239</v>
      </c>
      <c r="H52" s="3">
        <v>46243</v>
      </c>
      <c r="I52" s="2" t="s">
        <v>27</v>
      </c>
      <c r="J52" s="2" t="s">
        <v>17</v>
      </c>
      <c r="K52" s="2">
        <v>1500</v>
      </c>
    </row>
    <row r="53" spans="1:11" x14ac:dyDescent="0.8">
      <c r="A53" s="2" t="s">
        <v>95</v>
      </c>
      <c r="B53" s="2" t="s">
        <v>49</v>
      </c>
      <c r="C53" s="2">
        <v>9709322735</v>
      </c>
      <c r="D53" s="2" t="s">
        <v>32</v>
      </c>
      <c r="E53" s="2" t="s">
        <v>33</v>
      </c>
      <c r="F53" s="2" t="s">
        <v>29</v>
      </c>
      <c r="G53" s="3">
        <v>46241</v>
      </c>
      <c r="H53" s="3">
        <v>46246</v>
      </c>
      <c r="I53" s="2" t="s">
        <v>35</v>
      </c>
      <c r="J53" s="2" t="s">
        <v>30</v>
      </c>
      <c r="K53" s="2">
        <v>1500</v>
      </c>
    </row>
    <row r="54" spans="1:11" x14ac:dyDescent="0.8">
      <c r="A54" s="2" t="s">
        <v>96</v>
      </c>
      <c r="B54" s="2" t="s">
        <v>62</v>
      </c>
      <c r="C54" s="2">
        <v>9192143894</v>
      </c>
      <c r="D54" s="2" t="s">
        <v>13</v>
      </c>
      <c r="E54" s="2" t="s">
        <v>41</v>
      </c>
      <c r="F54" s="2" t="s">
        <v>52</v>
      </c>
      <c r="G54" s="3">
        <v>46243</v>
      </c>
      <c r="H54" s="3">
        <v>46248</v>
      </c>
      <c r="I54" s="2" t="s">
        <v>47</v>
      </c>
      <c r="J54" s="2" t="s">
        <v>17</v>
      </c>
      <c r="K54" s="2">
        <v>1800</v>
      </c>
    </row>
    <row r="55" spans="1:11" x14ac:dyDescent="0.8">
      <c r="A55" s="2" t="s">
        <v>97</v>
      </c>
      <c r="B55" s="2" t="s">
        <v>62</v>
      </c>
      <c r="C55" s="2">
        <v>9851282522</v>
      </c>
      <c r="D55" s="2" t="s">
        <v>58</v>
      </c>
      <c r="E55" s="2" t="s">
        <v>14</v>
      </c>
      <c r="F55" s="2" t="s">
        <v>43</v>
      </c>
      <c r="G55" s="3">
        <v>46245</v>
      </c>
      <c r="H55" s="3">
        <v>46249</v>
      </c>
      <c r="I55" s="2" t="s">
        <v>27</v>
      </c>
      <c r="J55" s="2" t="s">
        <v>30</v>
      </c>
      <c r="K55" s="2">
        <v>1500</v>
      </c>
    </row>
    <row r="56" spans="1:11" x14ac:dyDescent="0.8">
      <c r="A56" s="2" t="s">
        <v>98</v>
      </c>
      <c r="B56" s="2" t="s">
        <v>60</v>
      </c>
      <c r="C56" s="2">
        <v>9113712394</v>
      </c>
      <c r="D56" s="2" t="s">
        <v>58</v>
      </c>
      <c r="E56" s="2" t="s">
        <v>33</v>
      </c>
      <c r="F56" s="2" t="s">
        <v>22</v>
      </c>
      <c r="G56" s="3">
        <v>46247</v>
      </c>
      <c r="H56" s="3">
        <v>46252</v>
      </c>
      <c r="I56" s="2" t="s">
        <v>35</v>
      </c>
      <c r="J56" s="2" t="s">
        <v>17</v>
      </c>
      <c r="K56" s="2">
        <v>2500</v>
      </c>
    </row>
    <row r="57" spans="1:11" x14ac:dyDescent="0.8">
      <c r="A57" s="2" t="s">
        <v>99</v>
      </c>
      <c r="B57" s="2" t="s">
        <v>26</v>
      </c>
      <c r="C57" s="2">
        <v>9529669170</v>
      </c>
      <c r="D57" s="2" t="s">
        <v>58</v>
      </c>
      <c r="E57" s="2" t="s">
        <v>41</v>
      </c>
      <c r="F57" s="2" t="s">
        <v>52</v>
      </c>
      <c r="G57" s="3">
        <v>46249</v>
      </c>
      <c r="H57" s="3">
        <v>46254</v>
      </c>
      <c r="I57" s="2" t="s">
        <v>23</v>
      </c>
      <c r="J57" s="2" t="s">
        <v>30</v>
      </c>
      <c r="K57" s="2">
        <v>2500</v>
      </c>
    </row>
    <row r="58" spans="1:11" x14ac:dyDescent="0.8">
      <c r="A58" s="2" t="s">
        <v>100</v>
      </c>
      <c r="B58" s="2" t="s">
        <v>19</v>
      </c>
      <c r="C58" s="2">
        <v>9809689415</v>
      </c>
      <c r="D58" s="2" t="s">
        <v>40</v>
      </c>
      <c r="E58" s="2" t="s">
        <v>14</v>
      </c>
      <c r="F58" s="2" t="s">
        <v>43</v>
      </c>
      <c r="G58" s="3">
        <v>46251</v>
      </c>
      <c r="H58" s="3">
        <v>46256</v>
      </c>
      <c r="I58" s="2" t="s">
        <v>23</v>
      </c>
      <c r="J58" s="2" t="s">
        <v>30</v>
      </c>
      <c r="K58" s="2">
        <v>1800</v>
      </c>
    </row>
    <row r="59" spans="1:11" x14ac:dyDescent="0.8">
      <c r="A59" s="2" t="s">
        <v>101</v>
      </c>
      <c r="B59" s="2" t="s">
        <v>49</v>
      </c>
      <c r="C59" s="2">
        <v>9842224253</v>
      </c>
      <c r="D59" s="2" t="s">
        <v>40</v>
      </c>
      <c r="E59" s="2" t="s">
        <v>14</v>
      </c>
      <c r="F59" s="2" t="s">
        <v>29</v>
      </c>
      <c r="G59" s="3">
        <v>46253</v>
      </c>
      <c r="H59" s="3">
        <v>46258</v>
      </c>
      <c r="I59" s="2" t="s">
        <v>27</v>
      </c>
      <c r="J59" s="2" t="s">
        <v>24</v>
      </c>
      <c r="K59" s="2">
        <v>1500</v>
      </c>
    </row>
    <row r="60" spans="1:11" x14ac:dyDescent="0.8">
      <c r="A60" s="2" t="s">
        <v>102</v>
      </c>
      <c r="B60" s="2" t="s">
        <v>62</v>
      </c>
      <c r="C60" s="2">
        <v>9932801049</v>
      </c>
      <c r="D60" s="2" t="s">
        <v>38</v>
      </c>
      <c r="E60" s="2" t="s">
        <v>41</v>
      </c>
      <c r="F60" s="2" t="s">
        <v>29</v>
      </c>
      <c r="G60" s="3">
        <v>46255</v>
      </c>
      <c r="H60" s="3">
        <v>46260</v>
      </c>
      <c r="I60" s="2" t="s">
        <v>27</v>
      </c>
      <c r="J60" s="2" t="s">
        <v>24</v>
      </c>
      <c r="K60" s="2">
        <v>2500</v>
      </c>
    </row>
    <row r="61" spans="1:11" x14ac:dyDescent="0.8">
      <c r="A61" s="2" t="s">
        <v>103</v>
      </c>
      <c r="B61" s="2" t="s">
        <v>37</v>
      </c>
      <c r="C61" s="2">
        <v>9885894538</v>
      </c>
      <c r="D61" s="2" t="s">
        <v>13</v>
      </c>
      <c r="E61" s="2" t="s">
        <v>21</v>
      </c>
      <c r="F61" s="2" t="s">
        <v>22</v>
      </c>
      <c r="G61" s="3">
        <v>46257</v>
      </c>
      <c r="H61" s="3">
        <v>46262</v>
      </c>
      <c r="I61" s="2" t="s">
        <v>35</v>
      </c>
      <c r="J61" s="2" t="s">
        <v>24</v>
      </c>
      <c r="K61" s="2">
        <v>1500</v>
      </c>
    </row>
    <row r="62" spans="1:11" x14ac:dyDescent="0.8">
      <c r="A62" s="2" t="s">
        <v>104</v>
      </c>
      <c r="B62" s="2" t="s">
        <v>54</v>
      </c>
      <c r="C62" s="2">
        <v>9164561537</v>
      </c>
      <c r="D62" s="2" t="s">
        <v>40</v>
      </c>
      <c r="E62" s="2" t="s">
        <v>33</v>
      </c>
      <c r="F62" s="2" t="s">
        <v>15</v>
      </c>
      <c r="G62" s="3">
        <v>46259</v>
      </c>
      <c r="H62" s="3">
        <v>46264</v>
      </c>
      <c r="I62" s="2" t="s">
        <v>35</v>
      </c>
      <c r="J62" s="2" t="s">
        <v>24</v>
      </c>
      <c r="K62" s="2">
        <v>2500</v>
      </c>
    </row>
    <row r="63" spans="1:11" x14ac:dyDescent="0.8">
      <c r="A63" s="2" t="s">
        <v>105</v>
      </c>
      <c r="B63" s="2" t="s">
        <v>49</v>
      </c>
      <c r="C63" s="2">
        <v>9326901180</v>
      </c>
      <c r="D63" s="2" t="s">
        <v>13</v>
      </c>
      <c r="E63" s="2" t="s">
        <v>33</v>
      </c>
      <c r="F63" s="2" t="s">
        <v>52</v>
      </c>
      <c r="G63" s="3">
        <v>46261</v>
      </c>
      <c r="H63" s="3">
        <v>46266</v>
      </c>
      <c r="I63" s="2" t="s">
        <v>16</v>
      </c>
      <c r="J63" s="2" t="s">
        <v>24</v>
      </c>
      <c r="K63" s="2">
        <v>2000</v>
      </c>
    </row>
    <row r="64" spans="1:11" x14ac:dyDescent="0.8">
      <c r="A64" s="2" t="s">
        <v>106</v>
      </c>
      <c r="B64" s="2" t="s">
        <v>60</v>
      </c>
      <c r="C64" s="2">
        <v>9691211281</v>
      </c>
      <c r="D64" s="2" t="s">
        <v>40</v>
      </c>
      <c r="E64" s="2" t="s">
        <v>14</v>
      </c>
      <c r="F64" s="2" t="s">
        <v>22</v>
      </c>
      <c r="G64" s="3">
        <v>46263</v>
      </c>
      <c r="H64" s="3">
        <v>46268</v>
      </c>
      <c r="I64" s="2" t="s">
        <v>27</v>
      </c>
      <c r="J64" s="2" t="s">
        <v>24</v>
      </c>
      <c r="K64" s="2">
        <v>2000</v>
      </c>
    </row>
    <row r="65" spans="1:11" x14ac:dyDescent="0.8">
      <c r="A65" s="2" t="s">
        <v>107</v>
      </c>
      <c r="B65" s="2" t="s">
        <v>19</v>
      </c>
      <c r="C65" s="2">
        <v>9782136062</v>
      </c>
      <c r="D65" s="2" t="s">
        <v>13</v>
      </c>
      <c r="E65" s="2" t="s">
        <v>14</v>
      </c>
      <c r="F65" s="2" t="s">
        <v>52</v>
      </c>
      <c r="G65" s="3">
        <v>46265</v>
      </c>
      <c r="H65" s="3">
        <v>46270</v>
      </c>
      <c r="I65" s="2" t="s">
        <v>27</v>
      </c>
      <c r="J65" s="2" t="s">
        <v>17</v>
      </c>
      <c r="K65" s="2">
        <v>1200</v>
      </c>
    </row>
    <row r="66" spans="1:11" x14ac:dyDescent="0.8">
      <c r="A66" s="2" t="s">
        <v>108</v>
      </c>
      <c r="B66" s="2" t="s">
        <v>54</v>
      </c>
      <c r="C66" s="2">
        <v>9848697938</v>
      </c>
      <c r="D66" s="2" t="s">
        <v>38</v>
      </c>
      <c r="E66" s="2" t="s">
        <v>21</v>
      </c>
      <c r="F66" s="2" t="s">
        <v>43</v>
      </c>
      <c r="G66" s="3">
        <v>46267</v>
      </c>
      <c r="H66" s="3">
        <v>46271</v>
      </c>
      <c r="I66" s="2" t="s">
        <v>27</v>
      </c>
      <c r="J66" s="2" t="s">
        <v>17</v>
      </c>
      <c r="K66" s="2">
        <v>2000</v>
      </c>
    </row>
    <row r="67" spans="1:11" x14ac:dyDescent="0.8">
      <c r="A67" s="2" t="s">
        <v>109</v>
      </c>
      <c r="B67" s="2" t="s">
        <v>12</v>
      </c>
      <c r="C67" s="2">
        <v>9016881874</v>
      </c>
      <c r="D67" s="2" t="s">
        <v>40</v>
      </c>
      <c r="E67" s="2" t="s">
        <v>14</v>
      </c>
      <c r="F67" s="2" t="s">
        <v>15</v>
      </c>
      <c r="G67" s="3">
        <v>46269</v>
      </c>
      <c r="H67" s="3">
        <v>46274</v>
      </c>
      <c r="I67" s="2" t="s">
        <v>27</v>
      </c>
      <c r="J67" s="2" t="s">
        <v>24</v>
      </c>
      <c r="K67" s="2">
        <v>1500</v>
      </c>
    </row>
    <row r="68" spans="1:11" x14ac:dyDescent="0.8">
      <c r="A68" s="2" t="s">
        <v>110</v>
      </c>
      <c r="B68" s="2" t="s">
        <v>26</v>
      </c>
      <c r="C68" s="2">
        <v>9463070874</v>
      </c>
      <c r="D68" s="2" t="s">
        <v>38</v>
      </c>
      <c r="E68" s="2" t="s">
        <v>14</v>
      </c>
      <c r="F68" s="2" t="s">
        <v>29</v>
      </c>
      <c r="G68" s="3">
        <v>46271</v>
      </c>
      <c r="H68" s="3">
        <v>46275</v>
      </c>
      <c r="I68" s="2" t="s">
        <v>47</v>
      </c>
      <c r="J68" s="2" t="s">
        <v>17</v>
      </c>
      <c r="K68" s="2">
        <v>1500</v>
      </c>
    </row>
    <row r="69" spans="1:11" x14ac:dyDescent="0.8">
      <c r="A69" s="2" t="s">
        <v>111</v>
      </c>
      <c r="B69" s="2" t="s">
        <v>49</v>
      </c>
      <c r="C69" s="2">
        <v>9757580988</v>
      </c>
      <c r="D69" s="2" t="s">
        <v>32</v>
      </c>
      <c r="E69" s="2" t="s">
        <v>41</v>
      </c>
      <c r="F69" s="2" t="s">
        <v>52</v>
      </c>
      <c r="G69" s="3">
        <v>46273</v>
      </c>
      <c r="H69" s="3">
        <v>46278</v>
      </c>
      <c r="I69" s="2" t="s">
        <v>23</v>
      </c>
      <c r="J69" s="2" t="s">
        <v>24</v>
      </c>
      <c r="K69" s="2">
        <v>1500</v>
      </c>
    </row>
    <row r="70" spans="1:11" x14ac:dyDescent="0.8">
      <c r="A70" s="2" t="s">
        <v>112</v>
      </c>
      <c r="B70" s="2" t="s">
        <v>26</v>
      </c>
      <c r="C70" s="2">
        <v>9434257328</v>
      </c>
      <c r="D70" s="2" t="s">
        <v>13</v>
      </c>
      <c r="E70" s="2" t="s">
        <v>33</v>
      </c>
      <c r="F70" s="2" t="s">
        <v>43</v>
      </c>
      <c r="G70" s="3">
        <v>46275</v>
      </c>
      <c r="H70" s="3">
        <v>46280</v>
      </c>
      <c r="I70" s="2" t="s">
        <v>35</v>
      </c>
      <c r="J70" s="2" t="s">
        <v>30</v>
      </c>
      <c r="K70" s="2">
        <v>2000</v>
      </c>
    </row>
    <row r="71" spans="1:11" x14ac:dyDescent="0.8">
      <c r="A71" s="2" t="s">
        <v>113</v>
      </c>
      <c r="B71" s="2" t="s">
        <v>46</v>
      </c>
      <c r="C71" s="2">
        <v>9025824639</v>
      </c>
      <c r="D71" s="2" t="s">
        <v>58</v>
      </c>
      <c r="E71" s="2" t="s">
        <v>21</v>
      </c>
      <c r="F71" s="2" t="s">
        <v>29</v>
      </c>
      <c r="G71" s="3">
        <v>46277</v>
      </c>
      <c r="H71" s="3">
        <v>46282</v>
      </c>
      <c r="I71" s="2" t="s">
        <v>27</v>
      </c>
      <c r="J71" s="2" t="s">
        <v>17</v>
      </c>
      <c r="K71" s="2">
        <v>2500</v>
      </c>
    </row>
    <row r="72" spans="1:11" x14ac:dyDescent="0.8">
      <c r="A72" s="2" t="s">
        <v>114</v>
      </c>
      <c r="B72" s="2" t="s">
        <v>37</v>
      </c>
      <c r="C72" s="2">
        <v>9784216627</v>
      </c>
      <c r="D72" s="2" t="s">
        <v>58</v>
      </c>
      <c r="E72" s="2" t="s">
        <v>14</v>
      </c>
      <c r="F72" s="2" t="s">
        <v>22</v>
      </c>
      <c r="G72" s="3">
        <v>46279</v>
      </c>
      <c r="H72" s="3">
        <v>46283</v>
      </c>
      <c r="I72" s="2" t="s">
        <v>16</v>
      </c>
      <c r="J72" s="2" t="s">
        <v>30</v>
      </c>
      <c r="K72" s="2">
        <v>1200</v>
      </c>
    </row>
    <row r="73" spans="1:11" x14ac:dyDescent="0.8">
      <c r="A73" s="2" t="s">
        <v>115</v>
      </c>
      <c r="B73" s="2" t="s">
        <v>64</v>
      </c>
      <c r="C73" s="2">
        <v>9482192476</v>
      </c>
      <c r="D73" s="2" t="s">
        <v>13</v>
      </c>
      <c r="E73" s="2" t="s">
        <v>14</v>
      </c>
      <c r="F73" s="2" t="s">
        <v>15</v>
      </c>
      <c r="G73" s="3">
        <v>46281</v>
      </c>
      <c r="H73" s="3">
        <v>46286</v>
      </c>
      <c r="I73" s="2" t="s">
        <v>27</v>
      </c>
      <c r="J73" s="2" t="s">
        <v>24</v>
      </c>
      <c r="K73" s="2">
        <v>2500</v>
      </c>
    </row>
    <row r="75" spans="1:11" x14ac:dyDescent="0.8">
      <c r="A75" s="19" t="s">
        <v>145</v>
      </c>
      <c r="B75" s="19"/>
    </row>
    <row r="76" spans="1:11" x14ac:dyDescent="0.8">
      <c r="A76" s="6" t="s">
        <v>140</v>
      </c>
      <c r="B76" s="6">
        <f>SUM(K4:K73)</f>
        <v>127100</v>
      </c>
    </row>
    <row r="77" spans="1:11" x14ac:dyDescent="0.8">
      <c r="A77" s="6" t="s">
        <v>141</v>
      </c>
      <c r="B77" s="6">
        <f>COUNTA(A4:A75)</f>
        <v>71</v>
      </c>
    </row>
    <row r="78" spans="1:11" x14ac:dyDescent="0.8">
      <c r="A78" s="18" t="s">
        <v>142</v>
      </c>
      <c r="B78" s="6">
        <f>COUNTIF(J4:J73,"Completed")</f>
        <v>27</v>
      </c>
    </row>
    <row r="79" spans="1:11" x14ac:dyDescent="0.8">
      <c r="A79" s="6" t="s">
        <v>143</v>
      </c>
      <c r="B79" s="6">
        <f>COUNTIF(J4:J73,"In Progress")</f>
        <v>24</v>
      </c>
    </row>
    <row r="80" spans="1:11" x14ac:dyDescent="0.8">
      <c r="A80" s="6" t="s">
        <v>144</v>
      </c>
      <c r="B80" s="6">
        <f>COUNTIF(J4:J73,"Pending")</f>
        <v>19</v>
      </c>
    </row>
  </sheetData>
  <mergeCells count="2">
    <mergeCell ref="A1:K1"/>
    <mergeCell ref="A75:B75"/>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35EF-A164-4F4D-B878-41E354253E27}">
  <dimension ref="A1:Z2"/>
  <sheetViews>
    <sheetView showGridLines="0" tabSelected="1" zoomScale="70" workbookViewId="0">
      <selection activeCell="Z12" sqref="Z12"/>
    </sheetView>
  </sheetViews>
  <sheetFormatPr defaultRowHeight="24" x14ac:dyDescent="0.8"/>
  <cols>
    <col min="1" max="1" width="8.796875" style="11"/>
    <col min="2" max="2" width="27.69921875" style="11" customWidth="1"/>
    <col min="3" max="16384" width="8.796875" style="10"/>
  </cols>
  <sheetData>
    <row r="1" spans="3:26" ht="24" customHeight="1" x14ac:dyDescent="0.8">
      <c r="C1" s="12" t="s">
        <v>139</v>
      </c>
      <c r="D1" s="13"/>
      <c r="E1" s="13"/>
      <c r="F1" s="13"/>
      <c r="G1" s="13"/>
      <c r="H1" s="13"/>
      <c r="I1" s="13"/>
      <c r="J1" s="13"/>
      <c r="K1" s="13"/>
      <c r="L1" s="13"/>
      <c r="M1" s="13"/>
      <c r="N1" s="13"/>
      <c r="O1" s="13"/>
      <c r="P1" s="13"/>
      <c r="Q1" s="13"/>
      <c r="R1" s="13"/>
      <c r="S1" s="13"/>
      <c r="T1" s="13"/>
      <c r="U1" s="13"/>
      <c r="V1" s="13"/>
      <c r="W1" s="13"/>
      <c r="X1" s="13"/>
      <c r="Y1" s="13"/>
      <c r="Z1" s="13"/>
    </row>
    <row r="2" spans="3:26" x14ac:dyDescent="0.8">
      <c r="C2" s="14"/>
      <c r="D2" s="13"/>
      <c r="E2" s="13"/>
      <c r="F2" s="13"/>
      <c r="G2" s="13"/>
      <c r="H2" s="13"/>
      <c r="I2" s="13"/>
      <c r="J2" s="13"/>
      <c r="K2" s="13"/>
      <c r="L2" s="13"/>
      <c r="M2" s="13"/>
      <c r="N2" s="13"/>
      <c r="O2" s="13"/>
      <c r="P2" s="13"/>
      <c r="Q2" s="13"/>
      <c r="R2" s="13"/>
      <c r="S2" s="13"/>
      <c r="T2" s="13"/>
      <c r="U2" s="13"/>
      <c r="V2" s="13"/>
      <c r="W2" s="13"/>
      <c r="X2" s="13"/>
      <c r="Y2" s="13"/>
      <c r="Z2" s="13"/>
    </row>
  </sheetData>
  <mergeCells count="2">
    <mergeCell ref="A1:B1048576"/>
    <mergeCell ref="C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576C2-BB28-4ADD-8E7D-2F9BD378E3AE}">
  <dimension ref="A3:B9"/>
  <sheetViews>
    <sheetView workbookViewId="0">
      <selection activeCell="B5" sqref="B5"/>
    </sheetView>
  </sheetViews>
  <sheetFormatPr defaultRowHeight="24" x14ac:dyDescent="0.8"/>
  <cols>
    <col min="1" max="1" width="14.3984375" bestFit="1" customWidth="1"/>
    <col min="2" max="2" width="15.296875" bestFit="1" customWidth="1"/>
  </cols>
  <sheetData>
    <row r="3" spans="1:2" x14ac:dyDescent="0.8">
      <c r="A3" s="8" t="s">
        <v>124</v>
      </c>
      <c r="B3" t="s">
        <v>123</v>
      </c>
    </row>
    <row r="4" spans="1:2" x14ac:dyDescent="0.8">
      <c r="A4" s="9" t="s">
        <v>29</v>
      </c>
      <c r="B4" s="20">
        <v>29000</v>
      </c>
    </row>
    <row r="5" spans="1:2" x14ac:dyDescent="0.8">
      <c r="A5" s="9" t="s">
        <v>22</v>
      </c>
      <c r="B5" s="20">
        <v>32000</v>
      </c>
    </row>
    <row r="6" spans="1:2" x14ac:dyDescent="0.8">
      <c r="A6" s="9" t="s">
        <v>52</v>
      </c>
      <c r="B6" s="20">
        <v>19100</v>
      </c>
    </row>
    <row r="7" spans="1:2" x14ac:dyDescent="0.8">
      <c r="A7" s="9" t="s">
        <v>15</v>
      </c>
      <c r="B7" s="20">
        <v>22600</v>
      </c>
    </row>
    <row r="8" spans="1:2" x14ac:dyDescent="0.8">
      <c r="A8" s="9" t="s">
        <v>43</v>
      </c>
      <c r="B8" s="20">
        <v>24400</v>
      </c>
    </row>
    <row r="9" spans="1:2" x14ac:dyDescent="0.8">
      <c r="A9" s="9" t="s">
        <v>125</v>
      </c>
      <c r="B9" s="20">
        <v>127100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15A8-C9D4-4593-A431-F042F0E6FDC0}">
  <dimension ref="A3:B10"/>
  <sheetViews>
    <sheetView workbookViewId="0">
      <selection activeCell="B3" sqref="A3:B3"/>
    </sheetView>
  </sheetViews>
  <sheetFormatPr defaultRowHeight="24" x14ac:dyDescent="0.8"/>
  <cols>
    <col min="1" max="1" width="11.796875" bestFit="1" customWidth="1"/>
    <col min="2" max="3" width="19.5" bestFit="1" customWidth="1"/>
  </cols>
  <sheetData>
    <row r="3" spans="1:2" x14ac:dyDescent="0.8">
      <c r="A3" s="8" t="s">
        <v>3</v>
      </c>
      <c r="B3" t="s">
        <v>126</v>
      </c>
    </row>
    <row r="4" spans="1:2" x14ac:dyDescent="0.8">
      <c r="A4" s="9" t="s">
        <v>20</v>
      </c>
      <c r="B4" s="20">
        <v>6</v>
      </c>
    </row>
    <row r="5" spans="1:2" x14ac:dyDescent="0.8">
      <c r="A5" s="9" t="s">
        <v>40</v>
      </c>
      <c r="B5" s="20">
        <v>11</v>
      </c>
    </row>
    <row r="6" spans="1:2" x14ac:dyDescent="0.8">
      <c r="A6" s="9" t="s">
        <v>13</v>
      </c>
      <c r="B6" s="20">
        <v>13</v>
      </c>
    </row>
    <row r="7" spans="1:2" x14ac:dyDescent="0.8">
      <c r="A7" s="9" t="s">
        <v>38</v>
      </c>
      <c r="B7" s="20">
        <v>16</v>
      </c>
    </row>
    <row r="8" spans="1:2" x14ac:dyDescent="0.8">
      <c r="A8" s="9" t="s">
        <v>32</v>
      </c>
      <c r="B8" s="20">
        <v>13</v>
      </c>
    </row>
    <row r="9" spans="1:2" x14ac:dyDescent="0.8">
      <c r="A9" s="9" t="s">
        <v>58</v>
      </c>
      <c r="B9" s="20">
        <v>11</v>
      </c>
    </row>
    <row r="10" spans="1:2" x14ac:dyDescent="0.8">
      <c r="A10" s="9" t="s">
        <v>125</v>
      </c>
      <c r="B10" s="20">
        <v>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7286-B1C7-48E5-B418-05EC4C33C967}">
  <dimension ref="A3:B7"/>
  <sheetViews>
    <sheetView workbookViewId="0">
      <selection activeCell="K4" sqref="K4"/>
    </sheetView>
  </sheetViews>
  <sheetFormatPr defaultRowHeight="24" x14ac:dyDescent="0.8"/>
  <cols>
    <col min="1" max="1" width="17.19921875" bestFit="1" customWidth="1"/>
    <col min="2" max="2" width="19.5" bestFit="1" customWidth="1"/>
    <col min="3" max="3" width="23.296875" bestFit="1" customWidth="1"/>
  </cols>
  <sheetData>
    <row r="3" spans="1:2" x14ac:dyDescent="0.8">
      <c r="A3" s="8" t="s">
        <v>127</v>
      </c>
      <c r="B3" t="s">
        <v>126</v>
      </c>
    </row>
    <row r="4" spans="1:2" x14ac:dyDescent="0.8">
      <c r="A4" s="9" t="s">
        <v>30</v>
      </c>
      <c r="B4" s="20">
        <v>27</v>
      </c>
    </row>
    <row r="5" spans="1:2" x14ac:dyDescent="0.8">
      <c r="A5" s="9" t="s">
        <v>24</v>
      </c>
      <c r="B5" s="20">
        <v>24</v>
      </c>
    </row>
    <row r="6" spans="1:2" x14ac:dyDescent="0.8">
      <c r="A6" s="9" t="s">
        <v>17</v>
      </c>
      <c r="B6" s="20">
        <v>19</v>
      </c>
    </row>
    <row r="7" spans="1:2" x14ac:dyDescent="0.8">
      <c r="A7" s="9" t="s">
        <v>125</v>
      </c>
      <c r="B7" s="20">
        <v>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3790-7718-4CC9-BB6D-EDBC77609ABE}">
  <dimension ref="A3:B7"/>
  <sheetViews>
    <sheetView workbookViewId="0">
      <selection activeCell="B4" sqref="B4"/>
    </sheetView>
  </sheetViews>
  <sheetFormatPr defaultRowHeight="24" x14ac:dyDescent="0.8"/>
  <cols>
    <col min="1" max="1" width="16" bestFit="1" customWidth="1"/>
    <col min="2" max="2" width="19.5" bestFit="1" customWidth="1"/>
    <col min="3" max="3" width="20.5" bestFit="1" customWidth="1"/>
  </cols>
  <sheetData>
    <row r="3" spans="1:2" x14ac:dyDescent="0.8">
      <c r="A3" s="8" t="s">
        <v>128</v>
      </c>
      <c r="B3" t="s">
        <v>126</v>
      </c>
    </row>
    <row r="4" spans="1:2" x14ac:dyDescent="0.8">
      <c r="A4" s="9" t="s">
        <v>30</v>
      </c>
      <c r="B4" s="20">
        <v>27</v>
      </c>
    </row>
    <row r="5" spans="1:2" x14ac:dyDescent="0.8">
      <c r="A5" s="9" t="s">
        <v>24</v>
      </c>
      <c r="B5" s="20">
        <v>24</v>
      </c>
    </row>
    <row r="6" spans="1:2" x14ac:dyDescent="0.8">
      <c r="A6" s="9" t="s">
        <v>17</v>
      </c>
      <c r="B6" s="20">
        <v>19</v>
      </c>
    </row>
    <row r="7" spans="1:2" x14ac:dyDescent="0.8">
      <c r="A7" s="9" t="s">
        <v>125</v>
      </c>
      <c r="B7" s="20">
        <v>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EA83-39D0-4B8C-B88E-811833E70BA0}">
  <dimension ref="A3:B10"/>
  <sheetViews>
    <sheetView workbookViewId="0">
      <selection activeCell="K4" sqref="K4"/>
    </sheetView>
  </sheetViews>
  <sheetFormatPr defaultRowHeight="24" x14ac:dyDescent="0.8"/>
  <cols>
    <col min="1" max="1" width="11.796875" bestFit="1" customWidth="1"/>
    <col min="2" max="2" width="15.296875" bestFit="1" customWidth="1"/>
  </cols>
  <sheetData>
    <row r="3" spans="1:2" x14ac:dyDescent="0.8">
      <c r="A3" s="8" t="s">
        <v>3</v>
      </c>
      <c r="B3" t="s">
        <v>123</v>
      </c>
    </row>
    <row r="4" spans="1:2" x14ac:dyDescent="0.8">
      <c r="A4" s="9" t="s">
        <v>20</v>
      </c>
      <c r="B4" s="20">
        <v>11100</v>
      </c>
    </row>
    <row r="5" spans="1:2" x14ac:dyDescent="0.8">
      <c r="A5" s="9" t="s">
        <v>40</v>
      </c>
      <c r="B5" s="20">
        <v>20300</v>
      </c>
    </row>
    <row r="6" spans="1:2" x14ac:dyDescent="0.8">
      <c r="A6" s="9" t="s">
        <v>13</v>
      </c>
      <c r="B6" s="20">
        <v>24400</v>
      </c>
    </row>
    <row r="7" spans="1:2" x14ac:dyDescent="0.8">
      <c r="A7" s="9" t="s">
        <v>38</v>
      </c>
      <c r="B7" s="20">
        <v>27600</v>
      </c>
    </row>
    <row r="8" spans="1:2" x14ac:dyDescent="0.8">
      <c r="A8" s="9" t="s">
        <v>32</v>
      </c>
      <c r="B8" s="20">
        <v>22900</v>
      </c>
    </row>
    <row r="9" spans="1:2" x14ac:dyDescent="0.8">
      <c r="A9" s="9" t="s">
        <v>58</v>
      </c>
      <c r="B9" s="20">
        <v>20800</v>
      </c>
    </row>
    <row r="10" spans="1:2" x14ac:dyDescent="0.8">
      <c r="A10" s="9" t="s">
        <v>125</v>
      </c>
      <c r="B10" s="20">
        <v>127100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7700C-F772-435C-AD77-4D42E137DBB5}">
  <dimension ref="A3:B9"/>
  <sheetViews>
    <sheetView workbookViewId="0">
      <selection activeCell="P8" sqref="P8"/>
    </sheetView>
  </sheetViews>
  <sheetFormatPr defaultRowHeight="24" x14ac:dyDescent="0.8"/>
  <cols>
    <col min="1" max="1" width="11.796875" bestFit="1" customWidth="1"/>
    <col min="2" max="2" width="19.5" bestFit="1" customWidth="1"/>
    <col min="3" max="3" width="4.09765625" bestFit="1" customWidth="1"/>
    <col min="4" max="4" width="3.5" bestFit="1" customWidth="1"/>
    <col min="5" max="6" width="4.3984375" bestFit="1" customWidth="1"/>
    <col min="7" max="7" width="11.796875" bestFit="1" customWidth="1"/>
  </cols>
  <sheetData>
    <row r="3" spans="1:2" x14ac:dyDescent="0.8">
      <c r="A3" s="8" t="s">
        <v>130</v>
      </c>
      <c r="B3" t="s">
        <v>126</v>
      </c>
    </row>
    <row r="4" spans="1:2" x14ac:dyDescent="0.8">
      <c r="A4" s="9" t="s">
        <v>135</v>
      </c>
      <c r="B4" s="20">
        <v>16</v>
      </c>
    </row>
    <row r="5" spans="1:2" x14ac:dyDescent="0.8">
      <c r="A5" s="9" t="s">
        <v>136</v>
      </c>
      <c r="B5" s="20">
        <v>15</v>
      </c>
    </row>
    <row r="6" spans="1:2" x14ac:dyDescent="0.8">
      <c r="A6" s="9" t="s">
        <v>134</v>
      </c>
      <c r="B6" s="20">
        <v>15</v>
      </c>
    </row>
    <row r="7" spans="1:2" x14ac:dyDescent="0.8">
      <c r="A7" s="9" t="s">
        <v>137</v>
      </c>
      <c r="B7" s="20">
        <v>16</v>
      </c>
    </row>
    <row r="8" spans="1:2" x14ac:dyDescent="0.8">
      <c r="A8" s="9" t="s">
        <v>138</v>
      </c>
      <c r="B8" s="20">
        <v>8</v>
      </c>
    </row>
    <row r="9" spans="1:2" x14ac:dyDescent="0.8">
      <c r="A9" s="9" t="s">
        <v>125</v>
      </c>
      <c r="B9" s="20">
        <v>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2B77B-ECD5-4150-A5F9-D2D41DF6E372}">
  <dimension ref="A3:B9"/>
  <sheetViews>
    <sheetView workbookViewId="0">
      <selection activeCell="A3" sqref="A3"/>
    </sheetView>
  </sheetViews>
  <sheetFormatPr defaultRowHeight="24" x14ac:dyDescent="0.8"/>
  <cols>
    <col min="1" max="1" width="18.796875" bestFit="1" customWidth="1"/>
    <col min="2" max="2" width="19.5" bestFit="1" customWidth="1"/>
  </cols>
  <sheetData>
    <row r="3" spans="1:2" x14ac:dyDescent="0.8">
      <c r="A3" s="8" t="s">
        <v>133</v>
      </c>
      <c r="B3" t="s">
        <v>126</v>
      </c>
    </row>
    <row r="4" spans="1:2" x14ac:dyDescent="0.8">
      <c r="A4" s="9" t="s">
        <v>27</v>
      </c>
      <c r="B4" s="20">
        <v>19</v>
      </c>
    </row>
    <row r="5" spans="1:2" x14ac:dyDescent="0.8">
      <c r="A5" s="9" t="s">
        <v>23</v>
      </c>
      <c r="B5" s="20">
        <v>19</v>
      </c>
    </row>
    <row r="6" spans="1:2" x14ac:dyDescent="0.8">
      <c r="A6" s="9" t="s">
        <v>35</v>
      </c>
      <c r="B6" s="20">
        <v>11</v>
      </c>
    </row>
    <row r="7" spans="1:2" x14ac:dyDescent="0.8">
      <c r="A7" s="9" t="s">
        <v>47</v>
      </c>
      <c r="B7" s="20">
        <v>10</v>
      </c>
    </row>
    <row r="8" spans="1:2" x14ac:dyDescent="0.8">
      <c r="A8" s="9" t="s">
        <v>16</v>
      </c>
      <c r="B8" s="20">
        <v>11</v>
      </c>
    </row>
    <row r="9" spans="1:2" x14ac:dyDescent="0.8">
      <c r="A9" s="9" t="s">
        <v>125</v>
      </c>
      <c r="B9" s="20">
        <v>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9AE9A-0B44-4050-9D00-39FD64C48392}">
  <dimension ref="A3:B9"/>
  <sheetViews>
    <sheetView topLeftCell="A4" workbookViewId="0">
      <selection activeCell="L5" sqref="L5"/>
    </sheetView>
  </sheetViews>
  <sheetFormatPr defaultRowHeight="24" x14ac:dyDescent="0.8"/>
  <cols>
    <col min="1" max="1" width="15" bestFit="1" customWidth="1"/>
    <col min="2" max="2" width="19.5" bestFit="1" customWidth="1"/>
  </cols>
  <sheetData>
    <row r="3" spans="1:2" x14ac:dyDescent="0.8">
      <c r="A3" s="8" t="s">
        <v>5</v>
      </c>
      <c r="B3" t="s">
        <v>126</v>
      </c>
    </row>
    <row r="4" spans="1:2" x14ac:dyDescent="0.8">
      <c r="A4" s="9" t="s">
        <v>29</v>
      </c>
      <c r="B4" s="20">
        <v>16</v>
      </c>
    </row>
    <row r="5" spans="1:2" x14ac:dyDescent="0.8">
      <c r="A5" s="9" t="s">
        <v>22</v>
      </c>
      <c r="B5" s="20">
        <v>17</v>
      </c>
    </row>
    <row r="6" spans="1:2" x14ac:dyDescent="0.8">
      <c r="A6" s="9" t="s">
        <v>52</v>
      </c>
      <c r="B6" s="20">
        <v>11</v>
      </c>
    </row>
    <row r="7" spans="1:2" x14ac:dyDescent="0.8">
      <c r="A7" s="9" t="s">
        <v>15</v>
      </c>
      <c r="B7" s="20">
        <v>12</v>
      </c>
    </row>
    <row r="8" spans="1:2" x14ac:dyDescent="0.8">
      <c r="A8" s="9" t="s">
        <v>43</v>
      </c>
      <c r="B8" s="20">
        <v>14</v>
      </c>
    </row>
    <row r="9" spans="1:2" x14ac:dyDescent="0.8">
      <c r="A9" s="9" t="s">
        <v>125</v>
      </c>
      <c r="B9" s="20">
        <v>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16BEA-AF0F-4BB1-8584-95174CB696BD}">
  <dimension ref="A1"/>
  <sheetViews>
    <sheetView workbookViewId="0">
      <selection sqref="A1:D1"/>
    </sheetView>
  </sheetViews>
  <sheetFormatPr defaultRowHeight="24" x14ac:dyDescent="0.8"/>
  <cols>
    <col min="1" max="1" width="17.5976562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DashBoard</vt:lpstr>
      <vt:lpstr>Service Revenue report</vt:lpstr>
      <vt:lpstr>Booking Status</vt:lpstr>
      <vt:lpstr>Service Status</vt:lpstr>
      <vt:lpstr>Pending Status</vt:lpstr>
      <vt:lpstr>Highest Service Revenu</vt:lpstr>
      <vt:lpstr>Monthly record</vt:lpstr>
      <vt:lpstr>Technician Performance</vt:lpstr>
      <vt:lpstr>Service Type Comparison</vt:lpstr>
      <vt:lpstr>KPI Cards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Pratiksha</dc:creator>
  <cp:lastModifiedBy>Pratiksha</cp:lastModifiedBy>
  <dcterms:created xsi:type="dcterms:W3CDTF">2026-05-10T06:28:36Z</dcterms:created>
  <dcterms:modified xsi:type="dcterms:W3CDTF">2026-08-05T15:38:03Z</dcterms:modified>
</cp:coreProperties>
</file>